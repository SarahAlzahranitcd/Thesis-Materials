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alzahrani/Desktop/"/>
    </mc:Choice>
  </mc:AlternateContent>
  <xr:revisionPtr revIDLastSave="0" documentId="8_{4B4B4EF2-1910-3449-A2C4-2A4E2ECDFF60}" xr6:coauthVersionLast="47" xr6:coauthVersionMax="47" xr10:uidLastSave="{00000000-0000-0000-0000-000000000000}"/>
  <bookViews>
    <workbookView xWindow="380" yWindow="500" windowWidth="28040" windowHeight="16380" xr2:uid="{BBBAFC6A-96B0-7D41-90D0-006C8B8DBB2F}"/>
  </bookViews>
  <sheets>
    <sheet name="Sheet1" sheetId="1" r:id="rId1"/>
    <sheet name="Table 5.2" sheetId="2" r:id="rId2"/>
    <sheet name="Table 5.3" sheetId="3" r:id="rId3"/>
    <sheet name="Table 5.4" sheetId="4" r:id="rId4"/>
    <sheet name="Table 5.5" sheetId="5" r:id="rId5"/>
    <sheet name="Table 5.6" sheetId="6" r:id="rId6"/>
    <sheet name="Table 5.7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0" i="5" l="1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</calcChain>
</file>

<file path=xl/sharedStrings.xml><?xml version="1.0" encoding="utf-8"?>
<sst xmlns="http://schemas.openxmlformats.org/spreadsheetml/2006/main" count="328" uniqueCount="81">
  <si>
    <t>Source data: A_survey_on_Metadata_for_Semantic_and_Data_Mappings_2.csv (combined initial + follow-up rounds).</t>
  </si>
  <si>
    <t>Task 2 (Mapping Quality Assessment) was not completed by all participants:</t>
  </si>
  <si>
    <t xml:space="preserve">   • 2 experts and 1 beginner in the initial round did not complete Task 2.</t>
  </si>
  <si>
    <t xml:space="preserve">   • Initial round Task 2 completers therefore: 7 Expert, 6 Intermediate, 2 Beginner = 15.</t>
  </si>
  <si>
    <t>Sheets in this workbook:</t>
  </si>
  <si>
    <t>Rating scale: 1 = Highly relevant, 5 = Irrelevant. Lower mean = higher perceived relevance.</t>
  </si>
  <si>
    <t>Round split:</t>
  </si>
  <si>
    <t>Total responses collected: 70.  After excluding 3 "No experience" respondents: 67 valid.</t>
  </si>
  <si>
    <t>Table 5.2 - Mapping discovery task: rating distributions by Experts</t>
  </si>
  <si>
    <t>Lifecycle phase</t>
  </si>
  <si>
    <t>Proposed field</t>
  </si>
  <si>
    <t>1 (Highly relevant)</t>
  </si>
  <si>
    <t>2</t>
  </si>
  <si>
    <t>3</t>
  </si>
  <si>
    <t>4</t>
  </si>
  <si>
    <t>5 (Irrelevant)</t>
  </si>
  <si>
    <t>n (responses)</t>
  </si>
  <si>
    <t>Median</t>
  </si>
  <si>
    <t>Analysis (Stakeholders)</t>
  </si>
  <si>
    <t>Name</t>
  </si>
  <si>
    <t>URI</t>
  </si>
  <si>
    <t>Role</t>
  </si>
  <si>
    <t>Background</t>
  </si>
  <si>
    <t>Organization</t>
  </si>
  <si>
    <t>Analysis (Purpose)</t>
  </si>
  <si>
    <t>Requirement</t>
  </si>
  <si>
    <t>Type of mapping</t>
  </si>
  <si>
    <t>Domain</t>
  </si>
  <si>
    <t>Assumptions</t>
  </si>
  <si>
    <t>Technical Requirement</t>
  </si>
  <si>
    <t>Risks/issues</t>
  </si>
  <si>
    <t>Analysis (Inputs)</t>
  </si>
  <si>
    <t>Source</t>
  </si>
  <si>
    <t>Type</t>
  </si>
  <si>
    <t>Creator</t>
  </si>
  <si>
    <t>Format</t>
  </si>
  <si>
    <t>Design</t>
  </si>
  <si>
    <t>Design decisions</t>
  </si>
  <si>
    <t>Justifications</t>
  </si>
  <si>
    <t>Quality Metrics</t>
  </si>
  <si>
    <t>Development</t>
  </si>
  <si>
    <t>Mapping Name</t>
  </si>
  <si>
    <t>Mapping URI</t>
  </si>
  <si>
    <t>Start date and time</t>
  </si>
  <si>
    <t>End date and time</t>
  </si>
  <si>
    <t>Used tools</t>
  </si>
  <si>
    <t>Mapping method</t>
  </si>
  <si>
    <t>Mapping algorithm</t>
  </si>
  <si>
    <t>Mapping format</t>
  </si>
  <si>
    <t>Testing</t>
  </si>
  <si>
    <t>Testing Identifier</t>
  </si>
  <si>
    <t>Testing Name</t>
  </si>
  <si>
    <t>Testing type</t>
  </si>
  <si>
    <t>Testing date and time</t>
  </si>
  <si>
    <t>Testing result</t>
  </si>
  <si>
    <t>Maintenance</t>
  </si>
  <si>
    <t>Publisher name</t>
  </si>
  <si>
    <t>Publisher source</t>
  </si>
  <si>
    <t>Version number</t>
  </si>
  <si>
    <t>Version date/time</t>
  </si>
  <si>
    <t>Table 5.3 - Mapping discovery task: rating distributions by Intermediates</t>
  </si>
  <si>
    <t>Table 5.4 - Mapping quality assessment task: rating distributions by Experts</t>
  </si>
  <si>
    <t>Table 5.5 - Mapping quality assessment task: rating distributions by Intermediates</t>
  </si>
  <si>
    <t>Task</t>
  </si>
  <si>
    <t>Group</t>
  </si>
  <si>
    <t>Mean</t>
  </si>
  <si>
    <t>SD</t>
  </si>
  <si>
    <t>Task 1: Mapping Discovery for Reuse</t>
  </si>
  <si>
    <t>Expert</t>
  </si>
  <si>
    <t>Intermediate</t>
  </si>
  <si>
    <t>Beginner</t>
  </si>
  <si>
    <t>Task 2: Mapping Quality Assessment</t>
  </si>
  <si>
    <t>Table 5.7 - Phase-level mean ratings and SDs, follow-up round</t>
  </si>
  <si>
    <t xml:space="preserve">   • Initial round (Mar–Jul 2022): 18 valid responses - 9 Expert, 6 Intermediate, 3 Beginner.</t>
  </si>
  <si>
    <t xml:space="preserve">   • Follow-up round (Aug–Nov 2022): 49 valid responses -0 Expert, 3 Intermediate, 46 Beginner.</t>
  </si>
  <si>
    <t xml:space="preserve">   • Table 5.2: Discovery task ratings, Experts (initial round, n=9)</t>
  </si>
  <si>
    <t xml:space="preserve">   • Table 5.3: Discovery task ratings, Intermediates (initial round, n=6)</t>
  </si>
  <si>
    <t xml:space="preserve">   • Table 5.4: Quality task ratings, Experts (initial round, n=7)</t>
  </si>
  <si>
    <t xml:space="preserve">   • Table 5.5:  Quality task ratings, Intermediates (initial round, n=6)</t>
  </si>
  <si>
    <t xml:space="preserve">   • Table 5.6 : Phase-level mean and SD, initial round (all three groups, both tasks)</t>
  </si>
  <si>
    <t xml:space="preserve">   • Table 5.7: Phase-level mean and SD, follow-up round (Intermediate and Beginner, both tasks)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</si>
</sst>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6"/>
      <color theme="1"/>
      <name val="Aptos Narrow"/>
      <family val="2"/>
      <scheme val="minor"/>
    </font>
    <font>
      <b/>
      <sz val="11"/>
      <color rgb="FFFFFFFF"/>
      <name val="Arial"/>
      <family val="2"/>
    </font>
    <font>
      <b/>
      <i/>
      <sz val="11"/>
      <name val="Arial"/>
      <family val="2"/>
    </font>
    <font>
      <sz val="18"/>
      <color theme="1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rgb="FF595959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5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0" fontId="5" fillId="0" borderId="7" xfId="0" applyFont="1" applyBorder="1"/>
    <xf numFmtId="0" fontId="1" fillId="0" borderId="8" xfId="0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6" fillId="0" borderId="0" xfId="0" applyFont="1"/>
    <xf numFmtId="2" fontId="0" fillId="0" borderId="1" xfId="0" applyNumberFormat="1" applyBorder="1" applyAlignment="1">
      <alignment horizontal="center" vertical="center" wrapText="1"/>
    </xf>
    <xf numFmtId="0" fontId="2" fillId="0" borderId="2" xfId="0" applyFont="1" applyBorder="1"/>
    <xf numFmtId="2" fontId="0" fillId="0" borderId="3" xfId="0" applyNumberFormat="1" applyBorder="1" applyAlignment="1">
      <alignment horizontal="center" vertical="center" wrapText="1"/>
    </xf>
    <xf numFmtId="0" fontId="2" fillId="0" borderId="7" xfId="0" applyFont="1" applyBorder="1"/>
    <xf numFmtId="0" fontId="5" fillId="0" borderId="8" xfId="0" applyFont="1" applyBorder="1"/>
    <xf numFmtId="2" fontId="0" fillId="0" borderId="8" xfId="0" applyNumberFormat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 wrapText="1"/>
    </xf>
  </cellXfs>
  <cellStyles count="1">
    <cellStyle name="Normal" xfId="0" builtinId="0"/>
  </cellStyles>
  <dxfs count="7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595959"/>
          <bgColor theme="1" tint="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595959"/>
          <bgColor theme="1" tint="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numFmt numFmtId="2" formatCode="0.00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595959"/>
          <bgColor theme="1" tint="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595959"/>
          <bgColor theme="1" tint="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595959"/>
          <bgColor theme="1" tint="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595959"/>
          <bgColor theme="1" tint="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9CEF61-A70D-2E41-8DA4-AF8C83EDC834}" name="Table1" displayName="Table1" ref="A3:I40" totalsRowShown="0" headerRowDxfId="60" dataDxfId="64" headerRowBorderDxfId="62" tableBorderDxfId="63" totalsRowBorderDxfId="61">
  <autoFilter ref="A3:I40" xr:uid="{7A9CEF61-A70D-2E41-8DA4-AF8C83EDC834}"/>
  <tableColumns count="9">
    <tableColumn id="1" xr3:uid="{EEFCCF01-F660-8642-9EBB-98B6D3C40BD3}" name="Lifecycle phase" dataDxfId="73"/>
    <tableColumn id="2" xr3:uid="{9C5ACDE9-CF14-2244-A5EC-7DD6A749419B}" name="Proposed field" dataDxfId="72"/>
    <tableColumn id="3" xr3:uid="{F1F52FB3-C9B8-064A-A418-13A550CC8A10}" name="1 (Highly relevant)" dataDxfId="71"/>
    <tableColumn id="4" xr3:uid="{9542ECC1-F9EA-5049-822C-8EDCBF3054A1}" name="2" dataDxfId="70"/>
    <tableColumn id="5" xr3:uid="{125E348D-D92D-0641-8261-CA4F241DDE0A}" name="3" dataDxfId="69"/>
    <tableColumn id="6" xr3:uid="{E89784A4-C20C-9C4A-833E-74BDB37ADC7F}" name="4" dataDxfId="68"/>
    <tableColumn id="7" xr3:uid="{254FFAB8-A357-1D44-85C6-23A86A27CFBB}" name="5 (Irrelevant)" dataDxfId="67"/>
    <tableColumn id="8" xr3:uid="{0241ABAB-7859-F944-AB60-A35B8418EB26}" name="n (responses)" dataDxfId="66">
      <calculatedColumnFormula>SUM(C4:G4)</calculatedColumnFormula>
    </tableColumn>
    <tableColumn id="9" xr3:uid="{2F6222A0-E516-CE41-A3A3-F9FEA7236B08}" name="Median" dataDxfId="6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94CC02-F205-9C41-B8F9-C9269C4DDA81}" name="Table2" displayName="Table2" ref="A3:I40" totalsRowShown="0" headerRowDxfId="46" dataDxfId="47" headerRowBorderDxfId="58" tableBorderDxfId="59" totalsRowBorderDxfId="57">
  <autoFilter ref="A3:I40" xr:uid="{B994CC02-F205-9C41-B8F9-C9269C4DDA81}"/>
  <tableColumns count="9">
    <tableColumn id="1" xr3:uid="{DC980C1D-750F-4742-8D7E-C03887D81615}" name="Lifecycle phase" dataDxfId="56"/>
    <tableColumn id="2" xr3:uid="{3D18D550-E7C4-674E-BEE5-8BD64FDB4DE5}" name="Proposed field" dataDxfId="55"/>
    <tableColumn id="3" xr3:uid="{68823CFE-6520-9540-9C2D-3D4ECE7F99AF}" name="1 (Highly relevant)" dataDxfId="54"/>
    <tableColumn id="4" xr3:uid="{BE1437A4-363D-1245-B4F5-F7C19CC81AA7}" name="2" dataDxfId="53"/>
    <tableColumn id="5" xr3:uid="{C66E598F-FB94-C747-8AEF-8F59CCA95987}" name="3" dataDxfId="52"/>
    <tableColumn id="6" xr3:uid="{B6879C9A-B031-1340-BA00-299E0784D3F3}" name="4" dataDxfId="51"/>
    <tableColumn id="7" xr3:uid="{9B8F577E-84A9-154A-A990-D71483B33025}" name="5 (Irrelevant)" dataDxfId="50"/>
    <tableColumn id="8" xr3:uid="{63174E48-F6C8-0741-9D90-F9B4771DAF3E}" name="n (responses)" dataDxfId="49">
      <calculatedColumnFormula>SUM(C4:G4)</calculatedColumnFormula>
    </tableColumn>
    <tableColumn id="9" xr3:uid="{3B14D48F-A4DA-754F-9996-B3B6F18853CF}" name="Median" dataDxfId="48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1DF542-3838-9C4B-BF94-75441C38EF13}" name="Table3" displayName="Table3" ref="A3:I40" totalsRowShown="0" headerRowDxfId="32" dataDxfId="33" headerRowBorderDxfId="44" tableBorderDxfId="45" totalsRowBorderDxfId="43">
  <autoFilter ref="A3:I40" xr:uid="{0B1DF542-3838-9C4B-BF94-75441C38EF13}"/>
  <tableColumns count="9">
    <tableColumn id="1" xr3:uid="{F15DAE0D-715D-F941-B364-5271F65AB158}" name="Lifecycle phase" dataDxfId="42"/>
    <tableColumn id="2" xr3:uid="{F4F2C5EE-5E56-164D-A923-4D49713AD140}" name="Proposed field" dataDxfId="41"/>
    <tableColumn id="3" xr3:uid="{7C9FE363-9702-D844-A330-32EC633EE589}" name="1 (Highly relevant)" dataDxfId="40"/>
    <tableColumn id="4" xr3:uid="{5139EB42-D8AF-674D-A90C-FA00312BC1AA}" name="2" dataDxfId="39"/>
    <tableColumn id="5" xr3:uid="{75560012-4382-A64F-9AD6-CA691DA00290}" name="3" dataDxfId="38"/>
    <tableColumn id="6" xr3:uid="{E4CAFEE5-41E9-C348-8971-211BA9454E90}" name="4" dataDxfId="37"/>
    <tableColumn id="7" xr3:uid="{EBC2AFCA-3595-C44E-BE60-78AB4499A92E}" name="5 (Irrelevant)" dataDxfId="36"/>
    <tableColumn id="8" xr3:uid="{48212B3A-DCDD-D441-B6A3-EBF5C0652904}" name="n (responses)" dataDxfId="35">
      <calculatedColumnFormula>SUM(C4:G4)</calculatedColumnFormula>
    </tableColumn>
    <tableColumn id="9" xr3:uid="{38FD8F60-6350-7D48-92F6-9CE3ED7E65B0}" name="Median" dataDxfId="34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A3F8C6-873A-124A-BCD8-066D7D155995}" name="Table4" displayName="Table4" ref="A3:I40" totalsRowShown="0" headerRowDxfId="18" dataDxfId="19" headerRowBorderDxfId="30" tableBorderDxfId="31" totalsRowBorderDxfId="29">
  <autoFilter ref="A3:I40" xr:uid="{6EA3F8C6-873A-124A-BCD8-066D7D155995}"/>
  <tableColumns count="9">
    <tableColumn id="1" xr3:uid="{716114E8-50E0-1445-B966-A18C44445B66}" name="Lifecycle phase" dataDxfId="28"/>
    <tableColumn id="2" xr3:uid="{58EEE110-18B4-3A48-B090-317FBB870118}" name="Proposed field" dataDxfId="27"/>
    <tableColumn id="3" xr3:uid="{E98643F8-AFAC-E840-A46F-EA9DD696F244}" name="1 (Highly relevant)" dataDxfId="26"/>
    <tableColumn id="4" xr3:uid="{F155AC25-8D41-284C-BB84-B1EFF1583605}" name="2" dataDxfId="25"/>
    <tableColumn id="5" xr3:uid="{2FF58129-1AD8-4343-94EE-FDC200C452B3}" name="3" dataDxfId="24"/>
    <tableColumn id="6" xr3:uid="{9AFC2739-F719-5145-8F35-849030CD74A3}" name="4" dataDxfId="23"/>
    <tableColumn id="7" xr3:uid="{E59B8E6E-AB2A-4B4F-AC81-E86FD1FF10AA}" name="5 (Irrelevant)" dataDxfId="22"/>
    <tableColumn id="8" xr3:uid="{098936FA-8498-4348-9761-D9C1FA939A09}" name="n (responses)" dataDxfId="21">
      <calculatedColumnFormula>SUM(C4:G4)</calculatedColumnFormula>
    </tableColumn>
    <tableColumn id="9" xr3:uid="{BA0C2CC7-8A76-0B47-96B8-CA87634A3B5A}" name="Median" dataDxfId="20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AD11D0-1DB8-BE49-88C5-AC3787D726F8}" name="Table5" displayName="Table5" ref="A3:E45" totalsRowShown="0" headerRowDxfId="9" headerRowBorderDxfId="16" tableBorderDxfId="17" totalsRowBorderDxfId="15">
  <autoFilter ref="A3:E45" xr:uid="{F6AD11D0-1DB8-BE49-88C5-AC3787D726F8}"/>
  <tableColumns count="5">
    <tableColumn id="1" xr3:uid="{56960E41-85AB-7743-AFF2-612FA244F922}" name="Task" dataDxfId="14"/>
    <tableColumn id="2" xr3:uid="{B4B30FE8-3BAE-FD44-AC46-67C031FFB9E9}" name="Group" dataDxfId="13"/>
    <tableColumn id="3" xr3:uid="{01277CAF-BDA5-744B-9397-E01097166183}" name="Lifecycle phase" dataDxfId="12"/>
    <tableColumn id="4" xr3:uid="{1BB66D6F-154C-874F-B47A-D82D7B11534F}" name="Mean" dataDxfId="11"/>
    <tableColumn id="5" xr3:uid="{B6AAAF21-F9DC-834B-89D4-3E405BD1EFA5}" name="SD" dataDxfId="10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A3397D-9144-4B46-8C40-82AA8F0EE66C}" name="Table6" displayName="Table6" ref="A3:E31" totalsRowShown="0" headerRowDxfId="0" headerRowBorderDxfId="7" tableBorderDxfId="8" totalsRowBorderDxfId="6">
  <autoFilter ref="A3:E31" xr:uid="{4FA3397D-9144-4B46-8C40-82AA8F0EE66C}"/>
  <tableColumns count="5">
    <tableColumn id="1" xr3:uid="{EC270E67-6C3C-E14E-93B4-91822F14B2E3}" name="Task" dataDxfId="5"/>
    <tableColumn id="2" xr3:uid="{0FE3F4DA-2C2E-2A43-A7E7-0AD44CAC8BC7}" name="Group" dataDxfId="4"/>
    <tableColumn id="3" xr3:uid="{DF9AADA6-8EE4-224A-BF05-A555793B361D}" name="Lifecycle phase" dataDxfId="3"/>
    <tableColumn id="4" xr3:uid="{9E2BA7E0-8794-094A-AA54-BDCBA32F2A21}" name="Mean" dataDxfId="2"/>
    <tableColumn id="5" xr3:uid="{547681F1-0CA3-8640-A9AA-B8B2C3A2187F}" name="SD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1774-B2FA-AC48-A798-98F838AEB3A5}">
  <dimension ref="A1:A20"/>
  <sheetViews>
    <sheetView tabSelected="1" workbookViewId="0">
      <selection activeCell="C21" sqref="C21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1" t="s">
        <v>7</v>
      </c>
    </row>
    <row r="3" spans="1:1" x14ac:dyDescent="0.2">
      <c r="A3" s="1"/>
    </row>
    <row r="4" spans="1:1" x14ac:dyDescent="0.2">
      <c r="A4" s="2" t="s">
        <v>6</v>
      </c>
    </row>
    <row r="5" spans="1:1" x14ac:dyDescent="0.2">
      <c r="A5" s="1" t="s">
        <v>73</v>
      </c>
    </row>
    <row r="6" spans="1:1" x14ac:dyDescent="0.2">
      <c r="A6" s="1" t="s">
        <v>74</v>
      </c>
    </row>
    <row r="7" spans="1:1" x14ac:dyDescent="0.2">
      <c r="A7" s="1"/>
    </row>
    <row r="8" spans="1:1" x14ac:dyDescent="0.2">
      <c r="A8" s="2" t="s">
        <v>1</v>
      </c>
    </row>
    <row r="9" spans="1:1" x14ac:dyDescent="0.2">
      <c r="A9" s="1" t="s">
        <v>2</v>
      </c>
    </row>
    <row r="10" spans="1:1" x14ac:dyDescent="0.2">
      <c r="A10" s="1" t="s">
        <v>3</v>
      </c>
    </row>
    <row r="11" spans="1:1" x14ac:dyDescent="0.2">
      <c r="A11" s="1"/>
    </row>
    <row r="12" spans="1:1" x14ac:dyDescent="0.2">
      <c r="A12" s="2" t="s">
        <v>4</v>
      </c>
    </row>
    <row r="13" spans="1:1" x14ac:dyDescent="0.2">
      <c r="A13" s="1" t="s">
        <v>75</v>
      </c>
    </row>
    <row r="14" spans="1:1" x14ac:dyDescent="0.2">
      <c r="A14" s="1" t="s">
        <v>76</v>
      </c>
    </row>
    <row r="15" spans="1:1" x14ac:dyDescent="0.2">
      <c r="A15" s="1" t="s">
        <v>77</v>
      </c>
    </row>
    <row r="16" spans="1:1" x14ac:dyDescent="0.2">
      <c r="A16" s="1" t="s">
        <v>78</v>
      </c>
    </row>
    <row r="17" spans="1:1" x14ac:dyDescent="0.2">
      <c r="A17" s="1" t="s">
        <v>79</v>
      </c>
    </row>
    <row r="18" spans="1:1" x14ac:dyDescent="0.2">
      <c r="A18" s="1" t="s">
        <v>80</v>
      </c>
    </row>
    <row r="19" spans="1:1" x14ac:dyDescent="0.2">
      <c r="A19" s="1"/>
    </row>
    <row r="20" spans="1:1" x14ac:dyDescent="0.2">
      <c r="A20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DF4B-1BCB-224A-B062-5EFBCE08B5B9}">
  <dimension ref="A1:I40"/>
  <sheetViews>
    <sheetView workbookViewId="0">
      <selection activeCell="I4" sqref="I4"/>
    </sheetView>
  </sheetViews>
  <sheetFormatPr baseColWidth="10" defaultRowHeight="16" x14ac:dyDescent="0.2"/>
  <cols>
    <col min="1" max="1" width="17.1640625" customWidth="1"/>
    <col min="2" max="2" width="16.33203125" customWidth="1"/>
    <col min="3" max="3" width="19.5" customWidth="1"/>
    <col min="7" max="7" width="14.5" customWidth="1"/>
    <col min="8" max="8" width="15.6640625" customWidth="1"/>
  </cols>
  <sheetData>
    <row r="1" spans="1:9" s="3" customFormat="1" ht="22" x14ac:dyDescent="0.3">
      <c r="A1" s="3" t="s">
        <v>8</v>
      </c>
    </row>
    <row r="3" spans="1:9" x14ac:dyDescent="0.2">
      <c r="A3" s="13" t="s">
        <v>9</v>
      </c>
      <c r="B3" s="14" t="s">
        <v>10</v>
      </c>
      <c r="C3" s="14" t="s">
        <v>11</v>
      </c>
      <c r="D3" s="14" t="s">
        <v>12</v>
      </c>
      <c r="E3" s="14" t="s">
        <v>13</v>
      </c>
      <c r="F3" s="14" t="s">
        <v>14</v>
      </c>
      <c r="G3" s="14" t="s">
        <v>15</v>
      </c>
      <c r="H3" s="14" t="s">
        <v>16</v>
      </c>
      <c r="I3" s="15" t="s">
        <v>17</v>
      </c>
    </row>
    <row r="4" spans="1:9" x14ac:dyDescent="0.2">
      <c r="A4" s="7" t="s">
        <v>18</v>
      </c>
      <c r="B4" s="5" t="s">
        <v>19</v>
      </c>
      <c r="C4" s="6">
        <v>2</v>
      </c>
      <c r="D4" s="6">
        <v>2</v>
      </c>
      <c r="E4" s="6">
        <v>2</v>
      </c>
      <c r="F4" s="6">
        <v>1</v>
      </c>
      <c r="G4" s="6">
        <v>2</v>
      </c>
      <c r="H4" s="6">
        <f t="shared" ref="H4:H40" si="0">SUM(C4:G4)</f>
        <v>9</v>
      </c>
      <c r="I4" s="8">
        <v>3</v>
      </c>
    </row>
    <row r="5" spans="1:9" x14ac:dyDescent="0.2">
      <c r="A5" s="7"/>
      <c r="B5" s="5" t="s">
        <v>20</v>
      </c>
      <c r="C5" s="6">
        <v>3</v>
      </c>
      <c r="D5" s="6">
        <v>1</v>
      </c>
      <c r="E5" s="6">
        <v>1</v>
      </c>
      <c r="F5" s="6">
        <v>3</v>
      </c>
      <c r="G5" s="6">
        <v>1</v>
      </c>
      <c r="H5" s="6">
        <f t="shared" si="0"/>
        <v>9</v>
      </c>
      <c r="I5" s="8">
        <v>3</v>
      </c>
    </row>
    <row r="6" spans="1:9" x14ac:dyDescent="0.2">
      <c r="A6" s="7"/>
      <c r="B6" s="5" t="s">
        <v>21</v>
      </c>
      <c r="C6" s="6">
        <v>2</v>
      </c>
      <c r="D6" s="6">
        <v>3</v>
      </c>
      <c r="E6" s="6">
        <v>3</v>
      </c>
      <c r="F6" s="6">
        <v>1</v>
      </c>
      <c r="G6" s="6">
        <v>0</v>
      </c>
      <c r="H6" s="6">
        <f t="shared" si="0"/>
        <v>9</v>
      </c>
      <c r="I6" s="8">
        <v>2</v>
      </c>
    </row>
    <row r="7" spans="1:9" x14ac:dyDescent="0.2">
      <c r="A7" s="7"/>
      <c r="B7" s="5" t="s">
        <v>22</v>
      </c>
      <c r="C7" s="6">
        <v>1</v>
      </c>
      <c r="D7" s="6">
        <v>1</v>
      </c>
      <c r="E7" s="6">
        <v>3</v>
      </c>
      <c r="F7" s="6">
        <v>4</v>
      </c>
      <c r="G7" s="6">
        <v>0</v>
      </c>
      <c r="H7" s="6">
        <f t="shared" si="0"/>
        <v>9</v>
      </c>
      <c r="I7" s="8">
        <v>3</v>
      </c>
    </row>
    <row r="8" spans="1:9" x14ac:dyDescent="0.2">
      <c r="A8" s="7"/>
      <c r="B8" s="5" t="s">
        <v>23</v>
      </c>
      <c r="C8" s="6">
        <v>2</v>
      </c>
      <c r="D8" s="6">
        <v>1</v>
      </c>
      <c r="E8" s="6">
        <v>5</v>
      </c>
      <c r="F8" s="6">
        <v>1</v>
      </c>
      <c r="G8" s="6">
        <v>0</v>
      </c>
      <c r="H8" s="6">
        <f t="shared" si="0"/>
        <v>9</v>
      </c>
      <c r="I8" s="8">
        <v>3</v>
      </c>
    </row>
    <row r="9" spans="1:9" x14ac:dyDescent="0.2">
      <c r="A9" s="7" t="s">
        <v>24</v>
      </c>
      <c r="B9" s="5" t="s">
        <v>25</v>
      </c>
      <c r="C9" s="6">
        <v>5</v>
      </c>
      <c r="D9" s="6">
        <v>3</v>
      </c>
      <c r="E9" s="6">
        <v>0</v>
      </c>
      <c r="F9" s="6">
        <v>0</v>
      </c>
      <c r="G9" s="6">
        <v>0</v>
      </c>
      <c r="H9" s="6">
        <f t="shared" si="0"/>
        <v>8</v>
      </c>
      <c r="I9" s="8">
        <v>1</v>
      </c>
    </row>
    <row r="10" spans="1:9" x14ac:dyDescent="0.2">
      <c r="A10" s="7"/>
      <c r="B10" s="5" t="s">
        <v>26</v>
      </c>
      <c r="C10" s="6">
        <v>6</v>
      </c>
      <c r="D10" s="6">
        <v>3</v>
      </c>
      <c r="E10" s="6">
        <v>0</v>
      </c>
      <c r="F10" s="6">
        <v>0</v>
      </c>
      <c r="G10" s="6">
        <v>0</v>
      </c>
      <c r="H10" s="6">
        <f t="shared" si="0"/>
        <v>9</v>
      </c>
      <c r="I10" s="8">
        <v>1</v>
      </c>
    </row>
    <row r="11" spans="1:9" x14ac:dyDescent="0.2">
      <c r="A11" s="7"/>
      <c r="B11" s="5" t="s">
        <v>27</v>
      </c>
      <c r="C11" s="6">
        <v>4</v>
      </c>
      <c r="D11" s="6">
        <v>3</v>
      </c>
      <c r="E11" s="6">
        <v>2</v>
      </c>
      <c r="F11" s="6">
        <v>0</v>
      </c>
      <c r="G11" s="6">
        <v>0</v>
      </c>
      <c r="H11" s="6">
        <f t="shared" si="0"/>
        <v>9</v>
      </c>
      <c r="I11" s="8">
        <v>2</v>
      </c>
    </row>
    <row r="12" spans="1:9" x14ac:dyDescent="0.2">
      <c r="A12" s="7"/>
      <c r="B12" s="5" t="s">
        <v>28</v>
      </c>
      <c r="C12" s="6">
        <v>2</v>
      </c>
      <c r="D12" s="6">
        <v>4</v>
      </c>
      <c r="E12" s="6">
        <v>3</v>
      </c>
      <c r="F12" s="6">
        <v>0</v>
      </c>
      <c r="G12" s="6">
        <v>0</v>
      </c>
      <c r="H12" s="6">
        <f t="shared" si="0"/>
        <v>9</v>
      </c>
      <c r="I12" s="8">
        <v>2</v>
      </c>
    </row>
    <row r="13" spans="1:9" x14ac:dyDescent="0.2">
      <c r="A13" s="7"/>
      <c r="B13" s="5" t="s">
        <v>29</v>
      </c>
      <c r="C13" s="6">
        <v>2</v>
      </c>
      <c r="D13" s="6">
        <v>3</v>
      </c>
      <c r="E13" s="6">
        <v>4</v>
      </c>
      <c r="F13" s="6">
        <v>0</v>
      </c>
      <c r="G13" s="6">
        <v>0</v>
      </c>
      <c r="H13" s="6">
        <f t="shared" si="0"/>
        <v>9</v>
      </c>
      <c r="I13" s="8">
        <v>2</v>
      </c>
    </row>
    <row r="14" spans="1:9" x14ac:dyDescent="0.2">
      <c r="A14" s="7"/>
      <c r="B14" s="5" t="s">
        <v>30</v>
      </c>
      <c r="C14" s="6">
        <v>1</v>
      </c>
      <c r="D14" s="6">
        <v>4</v>
      </c>
      <c r="E14" s="6">
        <v>2</v>
      </c>
      <c r="F14" s="6">
        <v>2</v>
      </c>
      <c r="G14" s="6">
        <v>0</v>
      </c>
      <c r="H14" s="6">
        <f t="shared" si="0"/>
        <v>9</v>
      </c>
      <c r="I14" s="8">
        <v>2</v>
      </c>
    </row>
    <row r="15" spans="1:9" x14ac:dyDescent="0.2">
      <c r="A15" s="7" t="s">
        <v>31</v>
      </c>
      <c r="B15" s="5" t="s">
        <v>19</v>
      </c>
      <c r="C15" s="6">
        <v>1</v>
      </c>
      <c r="D15" s="6">
        <v>4</v>
      </c>
      <c r="E15" s="6">
        <v>2</v>
      </c>
      <c r="F15" s="6">
        <v>1</v>
      </c>
      <c r="G15" s="6">
        <v>1</v>
      </c>
      <c r="H15" s="6">
        <f t="shared" si="0"/>
        <v>9</v>
      </c>
      <c r="I15" s="8">
        <v>2</v>
      </c>
    </row>
    <row r="16" spans="1:9" x14ac:dyDescent="0.2">
      <c r="A16" s="7"/>
      <c r="B16" s="5" t="s">
        <v>20</v>
      </c>
      <c r="C16" s="6">
        <v>5</v>
      </c>
      <c r="D16" s="6">
        <v>1</v>
      </c>
      <c r="E16" s="6">
        <v>1</v>
      </c>
      <c r="F16" s="6">
        <v>1</v>
      </c>
      <c r="G16" s="6">
        <v>1</v>
      </c>
      <c r="H16" s="6">
        <f t="shared" si="0"/>
        <v>9</v>
      </c>
      <c r="I16" s="8">
        <v>1</v>
      </c>
    </row>
    <row r="17" spans="1:9" x14ac:dyDescent="0.2">
      <c r="A17" s="7"/>
      <c r="B17" s="5" t="s">
        <v>32</v>
      </c>
      <c r="C17" s="6">
        <v>5</v>
      </c>
      <c r="D17" s="6">
        <v>1</v>
      </c>
      <c r="E17" s="6">
        <v>2</v>
      </c>
      <c r="F17" s="6">
        <v>1</v>
      </c>
      <c r="G17" s="6">
        <v>0</v>
      </c>
      <c r="H17" s="6">
        <f t="shared" si="0"/>
        <v>9</v>
      </c>
      <c r="I17" s="8">
        <v>1</v>
      </c>
    </row>
    <row r="18" spans="1:9" x14ac:dyDescent="0.2">
      <c r="A18" s="7"/>
      <c r="B18" s="5" t="s">
        <v>33</v>
      </c>
      <c r="C18" s="6">
        <v>7</v>
      </c>
      <c r="D18" s="6">
        <v>0</v>
      </c>
      <c r="E18" s="6">
        <v>2</v>
      </c>
      <c r="F18" s="6">
        <v>0</v>
      </c>
      <c r="G18" s="6">
        <v>0</v>
      </c>
      <c r="H18" s="6">
        <f t="shared" si="0"/>
        <v>9</v>
      </c>
      <c r="I18" s="8">
        <v>1</v>
      </c>
    </row>
    <row r="19" spans="1:9" x14ac:dyDescent="0.2">
      <c r="A19" s="7"/>
      <c r="B19" s="5" t="s">
        <v>34</v>
      </c>
      <c r="C19" s="6">
        <v>1</v>
      </c>
      <c r="D19" s="6">
        <v>3</v>
      </c>
      <c r="E19" s="6">
        <v>1</v>
      </c>
      <c r="F19" s="6">
        <v>3</v>
      </c>
      <c r="G19" s="6">
        <v>1</v>
      </c>
      <c r="H19" s="6">
        <f t="shared" si="0"/>
        <v>9</v>
      </c>
      <c r="I19" s="8">
        <v>3</v>
      </c>
    </row>
    <row r="20" spans="1:9" x14ac:dyDescent="0.2">
      <c r="A20" s="7"/>
      <c r="B20" s="5" t="s">
        <v>35</v>
      </c>
      <c r="C20" s="6">
        <v>4</v>
      </c>
      <c r="D20" s="6">
        <v>1</v>
      </c>
      <c r="E20" s="6">
        <v>3</v>
      </c>
      <c r="F20" s="6">
        <v>0</v>
      </c>
      <c r="G20" s="6">
        <v>1</v>
      </c>
      <c r="H20" s="6">
        <f t="shared" si="0"/>
        <v>9</v>
      </c>
      <c r="I20" s="8">
        <v>2</v>
      </c>
    </row>
    <row r="21" spans="1:9" x14ac:dyDescent="0.2">
      <c r="A21" s="7" t="s">
        <v>36</v>
      </c>
      <c r="B21" s="5" t="s">
        <v>37</v>
      </c>
      <c r="C21" s="6">
        <v>4</v>
      </c>
      <c r="D21" s="6">
        <v>2</v>
      </c>
      <c r="E21" s="6">
        <v>2</v>
      </c>
      <c r="F21" s="6">
        <v>0</v>
      </c>
      <c r="G21" s="6">
        <v>1</v>
      </c>
      <c r="H21" s="6">
        <f t="shared" si="0"/>
        <v>9</v>
      </c>
      <c r="I21" s="8">
        <v>2</v>
      </c>
    </row>
    <row r="22" spans="1:9" x14ac:dyDescent="0.2">
      <c r="A22" s="7"/>
      <c r="B22" s="5" t="s">
        <v>38</v>
      </c>
      <c r="C22" s="6">
        <v>3</v>
      </c>
      <c r="D22" s="6">
        <v>3</v>
      </c>
      <c r="E22" s="6">
        <v>2</v>
      </c>
      <c r="F22" s="6">
        <v>1</v>
      </c>
      <c r="G22" s="6">
        <v>0</v>
      </c>
      <c r="H22" s="6">
        <f t="shared" si="0"/>
        <v>9</v>
      </c>
      <c r="I22" s="8">
        <v>2</v>
      </c>
    </row>
    <row r="23" spans="1:9" x14ac:dyDescent="0.2">
      <c r="A23" s="7"/>
      <c r="B23" s="5" t="s">
        <v>39</v>
      </c>
      <c r="C23" s="6">
        <v>4</v>
      </c>
      <c r="D23" s="6">
        <v>3</v>
      </c>
      <c r="E23" s="6">
        <v>2</v>
      </c>
      <c r="F23" s="6">
        <v>0</v>
      </c>
      <c r="G23" s="6">
        <v>0</v>
      </c>
      <c r="H23" s="6">
        <f t="shared" si="0"/>
        <v>9</v>
      </c>
      <c r="I23" s="8">
        <v>2</v>
      </c>
    </row>
    <row r="24" spans="1:9" x14ac:dyDescent="0.2">
      <c r="A24" s="7" t="s">
        <v>40</v>
      </c>
      <c r="B24" s="5" t="s">
        <v>41</v>
      </c>
      <c r="C24" s="6">
        <v>2</v>
      </c>
      <c r="D24" s="6">
        <v>3</v>
      </c>
      <c r="E24" s="6">
        <v>2</v>
      </c>
      <c r="F24" s="6">
        <v>0</v>
      </c>
      <c r="G24" s="6">
        <v>2</v>
      </c>
      <c r="H24" s="6">
        <f t="shared" si="0"/>
        <v>9</v>
      </c>
      <c r="I24" s="8">
        <v>2</v>
      </c>
    </row>
    <row r="25" spans="1:9" x14ac:dyDescent="0.2">
      <c r="A25" s="7"/>
      <c r="B25" s="5" t="s">
        <v>42</v>
      </c>
      <c r="C25" s="6">
        <v>6</v>
      </c>
      <c r="D25" s="6">
        <v>0</v>
      </c>
      <c r="E25" s="6">
        <v>2</v>
      </c>
      <c r="F25" s="6">
        <v>0</v>
      </c>
      <c r="G25" s="6">
        <v>1</v>
      </c>
      <c r="H25" s="6">
        <f t="shared" si="0"/>
        <v>9</v>
      </c>
      <c r="I25" s="8">
        <v>1</v>
      </c>
    </row>
    <row r="26" spans="1:9" x14ac:dyDescent="0.2">
      <c r="A26" s="7"/>
      <c r="B26" s="5" t="s">
        <v>43</v>
      </c>
      <c r="C26" s="6">
        <v>1</v>
      </c>
      <c r="D26" s="6">
        <v>3</v>
      </c>
      <c r="E26" s="6">
        <v>2</v>
      </c>
      <c r="F26" s="6">
        <v>1</v>
      </c>
      <c r="G26" s="6">
        <v>2</v>
      </c>
      <c r="H26" s="6">
        <f t="shared" si="0"/>
        <v>9</v>
      </c>
      <c r="I26" s="8">
        <v>3</v>
      </c>
    </row>
    <row r="27" spans="1:9" x14ac:dyDescent="0.2">
      <c r="A27" s="7"/>
      <c r="B27" s="5" t="s">
        <v>44</v>
      </c>
      <c r="C27" s="6">
        <v>1</v>
      </c>
      <c r="D27" s="6">
        <v>4</v>
      </c>
      <c r="E27" s="6">
        <v>2</v>
      </c>
      <c r="F27" s="6">
        <v>1</v>
      </c>
      <c r="G27" s="6">
        <v>1</v>
      </c>
      <c r="H27" s="6">
        <f t="shared" si="0"/>
        <v>9</v>
      </c>
      <c r="I27" s="8">
        <v>2</v>
      </c>
    </row>
    <row r="28" spans="1:9" x14ac:dyDescent="0.2">
      <c r="A28" s="7"/>
      <c r="B28" s="5" t="s">
        <v>45</v>
      </c>
      <c r="C28" s="6">
        <v>3</v>
      </c>
      <c r="D28" s="6">
        <v>1</v>
      </c>
      <c r="E28" s="6">
        <v>4</v>
      </c>
      <c r="F28" s="6">
        <v>0</v>
      </c>
      <c r="G28" s="6">
        <v>1</v>
      </c>
      <c r="H28" s="6">
        <f t="shared" si="0"/>
        <v>9</v>
      </c>
      <c r="I28" s="8">
        <v>3</v>
      </c>
    </row>
    <row r="29" spans="1:9" x14ac:dyDescent="0.2">
      <c r="A29" s="7"/>
      <c r="B29" s="5" t="s">
        <v>46</v>
      </c>
      <c r="C29" s="6">
        <v>5</v>
      </c>
      <c r="D29" s="6">
        <v>3</v>
      </c>
      <c r="E29" s="6">
        <v>1</v>
      </c>
      <c r="F29" s="6">
        <v>0</v>
      </c>
      <c r="G29" s="6">
        <v>0</v>
      </c>
      <c r="H29" s="6">
        <f t="shared" si="0"/>
        <v>9</v>
      </c>
      <c r="I29" s="8">
        <v>1</v>
      </c>
    </row>
    <row r="30" spans="1:9" x14ac:dyDescent="0.2">
      <c r="A30" s="7"/>
      <c r="B30" s="5" t="s">
        <v>47</v>
      </c>
      <c r="C30" s="6">
        <v>3</v>
      </c>
      <c r="D30" s="6">
        <v>3</v>
      </c>
      <c r="E30" s="6">
        <v>2</v>
      </c>
      <c r="F30" s="6">
        <v>1</v>
      </c>
      <c r="G30" s="6">
        <v>0</v>
      </c>
      <c r="H30" s="6">
        <f t="shared" si="0"/>
        <v>9</v>
      </c>
      <c r="I30" s="8">
        <v>2</v>
      </c>
    </row>
    <row r="31" spans="1:9" x14ac:dyDescent="0.2">
      <c r="A31" s="7"/>
      <c r="B31" s="5" t="s">
        <v>48</v>
      </c>
      <c r="C31" s="6">
        <v>6</v>
      </c>
      <c r="D31" s="6">
        <v>2</v>
      </c>
      <c r="E31" s="6">
        <v>1</v>
      </c>
      <c r="F31" s="6">
        <v>0</v>
      </c>
      <c r="G31" s="6">
        <v>0</v>
      </c>
      <c r="H31" s="6">
        <f t="shared" si="0"/>
        <v>9</v>
      </c>
      <c r="I31" s="8">
        <v>1</v>
      </c>
    </row>
    <row r="32" spans="1:9" x14ac:dyDescent="0.2">
      <c r="A32" s="7" t="s">
        <v>49</v>
      </c>
      <c r="B32" s="5" t="s">
        <v>50</v>
      </c>
      <c r="C32" s="6">
        <v>3</v>
      </c>
      <c r="D32" s="6">
        <v>0</v>
      </c>
      <c r="E32" s="6">
        <v>3</v>
      </c>
      <c r="F32" s="6">
        <v>1</v>
      </c>
      <c r="G32" s="6">
        <v>2</v>
      </c>
      <c r="H32" s="6">
        <f t="shared" si="0"/>
        <v>9</v>
      </c>
      <c r="I32" s="8">
        <v>3</v>
      </c>
    </row>
    <row r="33" spans="1:9" x14ac:dyDescent="0.2">
      <c r="A33" s="7"/>
      <c r="B33" s="5" t="s">
        <v>51</v>
      </c>
      <c r="C33" s="6">
        <v>1</v>
      </c>
      <c r="D33" s="6">
        <v>2</v>
      </c>
      <c r="E33" s="6">
        <v>4</v>
      </c>
      <c r="F33" s="6">
        <v>2</v>
      </c>
      <c r="G33" s="6">
        <v>0</v>
      </c>
      <c r="H33" s="6">
        <f t="shared" si="0"/>
        <v>9</v>
      </c>
      <c r="I33" s="8">
        <v>3</v>
      </c>
    </row>
    <row r="34" spans="1:9" x14ac:dyDescent="0.2">
      <c r="A34" s="7"/>
      <c r="B34" s="5" t="s">
        <v>52</v>
      </c>
      <c r="C34" s="6">
        <v>3</v>
      </c>
      <c r="D34" s="6">
        <v>3</v>
      </c>
      <c r="E34" s="6">
        <v>3</v>
      </c>
      <c r="F34" s="6">
        <v>0</v>
      </c>
      <c r="G34" s="6">
        <v>0</v>
      </c>
      <c r="H34" s="6">
        <f t="shared" si="0"/>
        <v>9</v>
      </c>
      <c r="I34" s="8">
        <v>2</v>
      </c>
    </row>
    <row r="35" spans="1:9" x14ac:dyDescent="0.2">
      <c r="A35" s="7"/>
      <c r="B35" s="5" t="s">
        <v>53</v>
      </c>
      <c r="C35" s="6">
        <v>1</v>
      </c>
      <c r="D35" s="6">
        <v>2</v>
      </c>
      <c r="E35" s="6">
        <v>3</v>
      </c>
      <c r="F35" s="6">
        <v>2</v>
      </c>
      <c r="G35" s="6">
        <v>1</v>
      </c>
      <c r="H35" s="6">
        <f t="shared" si="0"/>
        <v>9</v>
      </c>
      <c r="I35" s="8">
        <v>3</v>
      </c>
    </row>
    <row r="36" spans="1:9" x14ac:dyDescent="0.2">
      <c r="A36" s="7"/>
      <c r="B36" s="5" t="s">
        <v>54</v>
      </c>
      <c r="C36" s="6">
        <v>4</v>
      </c>
      <c r="D36" s="6">
        <v>3</v>
      </c>
      <c r="E36" s="6">
        <v>2</v>
      </c>
      <c r="F36" s="6">
        <v>0</v>
      </c>
      <c r="G36" s="6">
        <v>0</v>
      </c>
      <c r="H36" s="6">
        <f t="shared" si="0"/>
        <v>9</v>
      </c>
      <c r="I36" s="8">
        <v>2</v>
      </c>
    </row>
    <row r="37" spans="1:9" x14ac:dyDescent="0.2">
      <c r="A37" s="7" t="s">
        <v>55</v>
      </c>
      <c r="B37" s="5" t="s">
        <v>56</v>
      </c>
      <c r="C37" s="6">
        <v>4</v>
      </c>
      <c r="D37" s="6">
        <v>3</v>
      </c>
      <c r="E37" s="6">
        <v>1</v>
      </c>
      <c r="F37" s="6">
        <v>0</v>
      </c>
      <c r="G37" s="6">
        <v>1</v>
      </c>
      <c r="H37" s="6">
        <f t="shared" si="0"/>
        <v>9</v>
      </c>
      <c r="I37" s="8">
        <v>2</v>
      </c>
    </row>
    <row r="38" spans="1:9" x14ac:dyDescent="0.2">
      <c r="A38" s="7"/>
      <c r="B38" s="5" t="s">
        <v>57</v>
      </c>
      <c r="C38" s="6">
        <v>5</v>
      </c>
      <c r="D38" s="6">
        <v>0</v>
      </c>
      <c r="E38" s="6">
        <v>3</v>
      </c>
      <c r="F38" s="6">
        <v>0</v>
      </c>
      <c r="G38" s="6">
        <v>1</v>
      </c>
      <c r="H38" s="6">
        <f t="shared" si="0"/>
        <v>9</v>
      </c>
      <c r="I38" s="8">
        <v>1</v>
      </c>
    </row>
    <row r="39" spans="1:9" x14ac:dyDescent="0.2">
      <c r="A39" s="7"/>
      <c r="B39" s="5" t="s">
        <v>58</v>
      </c>
      <c r="C39" s="6">
        <v>5</v>
      </c>
      <c r="D39" s="6">
        <v>2</v>
      </c>
      <c r="E39" s="6">
        <v>0</v>
      </c>
      <c r="F39" s="6">
        <v>1</v>
      </c>
      <c r="G39" s="6">
        <v>1</v>
      </c>
      <c r="H39" s="6">
        <f t="shared" si="0"/>
        <v>9</v>
      </c>
      <c r="I39" s="8">
        <v>1</v>
      </c>
    </row>
    <row r="40" spans="1:9" x14ac:dyDescent="0.2">
      <c r="A40" s="9"/>
      <c r="B40" s="10" t="s">
        <v>59</v>
      </c>
      <c r="C40" s="11">
        <v>5</v>
      </c>
      <c r="D40" s="11">
        <v>3</v>
      </c>
      <c r="E40" s="11">
        <v>0</v>
      </c>
      <c r="F40" s="11">
        <v>0</v>
      </c>
      <c r="G40" s="11">
        <v>1</v>
      </c>
      <c r="H40" s="11">
        <f t="shared" si="0"/>
        <v>9</v>
      </c>
      <c r="I40" s="12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8426-CA2C-6742-8767-BB8B906115C8}">
  <dimension ref="A1:I40"/>
  <sheetViews>
    <sheetView topLeftCell="A22" workbookViewId="0">
      <selection activeCell="I5" sqref="I5"/>
    </sheetView>
  </sheetViews>
  <sheetFormatPr baseColWidth="10" defaultRowHeight="16" x14ac:dyDescent="0.2"/>
  <cols>
    <col min="1" max="1" width="17.1640625" customWidth="1"/>
    <col min="2" max="2" width="16.33203125" customWidth="1"/>
    <col min="3" max="3" width="19.5" customWidth="1"/>
    <col min="7" max="7" width="14.5" customWidth="1"/>
    <col min="8" max="8" width="15.6640625" customWidth="1"/>
  </cols>
  <sheetData>
    <row r="1" spans="1:9" ht="22" x14ac:dyDescent="0.3">
      <c r="A1" s="3" t="s">
        <v>60</v>
      </c>
    </row>
    <row r="3" spans="1:9" ht="45" x14ac:dyDescent="0.2">
      <c r="A3" s="13" t="s">
        <v>9</v>
      </c>
      <c r="B3" s="14" t="s">
        <v>10</v>
      </c>
      <c r="C3" s="14" t="s">
        <v>11</v>
      </c>
      <c r="D3" s="14" t="s">
        <v>12</v>
      </c>
      <c r="E3" s="14" t="s">
        <v>13</v>
      </c>
      <c r="F3" s="14" t="s">
        <v>14</v>
      </c>
      <c r="G3" s="14" t="s">
        <v>15</v>
      </c>
      <c r="H3" s="14" t="s">
        <v>16</v>
      </c>
      <c r="I3" s="15" t="s">
        <v>17</v>
      </c>
    </row>
    <row r="4" spans="1:9" x14ac:dyDescent="0.2">
      <c r="A4" s="7" t="s">
        <v>18</v>
      </c>
      <c r="B4" s="5" t="s">
        <v>19</v>
      </c>
      <c r="C4" s="6">
        <v>2</v>
      </c>
      <c r="D4" s="6">
        <v>3</v>
      </c>
      <c r="E4" s="6">
        <v>0</v>
      </c>
      <c r="F4" s="6">
        <v>1</v>
      </c>
      <c r="G4" s="6">
        <v>0</v>
      </c>
      <c r="H4" s="6">
        <f t="shared" ref="H4:H40" si="0">SUM(C4:G4)</f>
        <v>6</v>
      </c>
      <c r="I4" s="8">
        <v>2</v>
      </c>
    </row>
    <row r="5" spans="1:9" x14ac:dyDescent="0.2">
      <c r="A5" s="7"/>
      <c r="B5" s="5" t="s">
        <v>20</v>
      </c>
      <c r="C5" s="6">
        <v>2</v>
      </c>
      <c r="D5" s="6">
        <v>2</v>
      </c>
      <c r="E5" s="6">
        <v>1</v>
      </c>
      <c r="F5" s="6">
        <v>1</v>
      </c>
      <c r="G5" s="6">
        <v>0</v>
      </c>
      <c r="H5" s="6">
        <f t="shared" si="0"/>
        <v>6</v>
      </c>
      <c r="I5" s="8">
        <v>2</v>
      </c>
    </row>
    <row r="6" spans="1:9" x14ac:dyDescent="0.2">
      <c r="A6" s="7"/>
      <c r="B6" s="5" t="s">
        <v>21</v>
      </c>
      <c r="C6" s="6">
        <v>1</v>
      </c>
      <c r="D6" s="6">
        <v>3</v>
      </c>
      <c r="E6" s="6">
        <v>0</v>
      </c>
      <c r="F6" s="6">
        <v>2</v>
      </c>
      <c r="G6" s="6">
        <v>0</v>
      </c>
      <c r="H6" s="6">
        <f t="shared" si="0"/>
        <v>6</v>
      </c>
      <c r="I6" s="8">
        <v>2</v>
      </c>
    </row>
    <row r="7" spans="1:9" x14ac:dyDescent="0.2">
      <c r="A7" s="7"/>
      <c r="B7" s="5" t="s">
        <v>22</v>
      </c>
      <c r="C7" s="6">
        <v>1</v>
      </c>
      <c r="D7" s="6">
        <v>3</v>
      </c>
      <c r="E7" s="6">
        <v>0</v>
      </c>
      <c r="F7" s="6">
        <v>2</v>
      </c>
      <c r="G7" s="6">
        <v>0</v>
      </c>
      <c r="H7" s="6">
        <f t="shared" si="0"/>
        <v>6</v>
      </c>
      <c r="I7" s="8">
        <v>2</v>
      </c>
    </row>
    <row r="8" spans="1:9" x14ac:dyDescent="0.2">
      <c r="A8" s="7"/>
      <c r="B8" s="5" t="s">
        <v>23</v>
      </c>
      <c r="C8" s="6">
        <v>1</v>
      </c>
      <c r="D8" s="6">
        <v>2</v>
      </c>
      <c r="E8" s="6">
        <v>2</v>
      </c>
      <c r="F8" s="6">
        <v>1</v>
      </c>
      <c r="G8" s="6">
        <v>0</v>
      </c>
      <c r="H8" s="6">
        <f t="shared" si="0"/>
        <v>6</v>
      </c>
      <c r="I8" s="8">
        <v>2.5</v>
      </c>
    </row>
    <row r="9" spans="1:9" x14ac:dyDescent="0.2">
      <c r="A9" s="7" t="s">
        <v>24</v>
      </c>
      <c r="B9" s="5" t="s">
        <v>25</v>
      </c>
      <c r="C9" s="6">
        <v>4</v>
      </c>
      <c r="D9" s="6">
        <v>1</v>
      </c>
      <c r="E9" s="6">
        <v>0</v>
      </c>
      <c r="F9" s="6">
        <v>1</v>
      </c>
      <c r="G9" s="6">
        <v>0</v>
      </c>
      <c r="H9" s="6">
        <f t="shared" si="0"/>
        <v>6</v>
      </c>
      <c r="I9" s="8">
        <v>1</v>
      </c>
    </row>
    <row r="10" spans="1:9" x14ac:dyDescent="0.2">
      <c r="A10" s="7"/>
      <c r="B10" s="5" t="s">
        <v>26</v>
      </c>
      <c r="C10" s="6">
        <v>4</v>
      </c>
      <c r="D10" s="6">
        <v>1</v>
      </c>
      <c r="E10" s="6">
        <v>1</v>
      </c>
      <c r="F10" s="6">
        <v>0</v>
      </c>
      <c r="G10" s="6">
        <v>0</v>
      </c>
      <c r="H10" s="6">
        <f t="shared" si="0"/>
        <v>6</v>
      </c>
      <c r="I10" s="8">
        <v>1</v>
      </c>
    </row>
    <row r="11" spans="1:9" x14ac:dyDescent="0.2">
      <c r="A11" s="7"/>
      <c r="B11" s="5" t="s">
        <v>27</v>
      </c>
      <c r="C11" s="6">
        <v>5</v>
      </c>
      <c r="D11" s="6">
        <v>1</v>
      </c>
      <c r="E11" s="6">
        <v>0</v>
      </c>
      <c r="F11" s="6">
        <v>0</v>
      </c>
      <c r="G11" s="6">
        <v>0</v>
      </c>
      <c r="H11" s="6">
        <f t="shared" si="0"/>
        <v>6</v>
      </c>
      <c r="I11" s="8">
        <v>1</v>
      </c>
    </row>
    <row r="12" spans="1:9" x14ac:dyDescent="0.2">
      <c r="A12" s="7"/>
      <c r="B12" s="5" t="s">
        <v>28</v>
      </c>
      <c r="C12" s="6">
        <v>2</v>
      </c>
      <c r="D12" s="6">
        <v>3</v>
      </c>
      <c r="E12" s="6">
        <v>0</v>
      </c>
      <c r="F12" s="6">
        <v>1</v>
      </c>
      <c r="G12" s="6">
        <v>0</v>
      </c>
      <c r="H12" s="6">
        <f t="shared" si="0"/>
        <v>6</v>
      </c>
      <c r="I12" s="8">
        <v>2</v>
      </c>
    </row>
    <row r="13" spans="1:9" x14ac:dyDescent="0.2">
      <c r="A13" s="7"/>
      <c r="B13" s="5" t="s">
        <v>29</v>
      </c>
      <c r="C13" s="6">
        <v>2</v>
      </c>
      <c r="D13" s="6">
        <v>1</v>
      </c>
      <c r="E13" s="6">
        <v>1</v>
      </c>
      <c r="F13" s="6">
        <v>2</v>
      </c>
      <c r="G13" s="6">
        <v>0</v>
      </c>
      <c r="H13" s="6">
        <f t="shared" si="0"/>
        <v>6</v>
      </c>
      <c r="I13" s="8">
        <v>2.5</v>
      </c>
    </row>
    <row r="14" spans="1:9" x14ac:dyDescent="0.2">
      <c r="A14" s="7"/>
      <c r="B14" s="5" t="s">
        <v>30</v>
      </c>
      <c r="C14" s="6">
        <v>2</v>
      </c>
      <c r="D14" s="6">
        <v>2</v>
      </c>
      <c r="E14" s="6">
        <v>0</v>
      </c>
      <c r="F14" s="6">
        <v>2</v>
      </c>
      <c r="G14" s="6">
        <v>0</v>
      </c>
      <c r="H14" s="6">
        <f t="shared" si="0"/>
        <v>6</v>
      </c>
      <c r="I14" s="8">
        <v>2</v>
      </c>
    </row>
    <row r="15" spans="1:9" x14ac:dyDescent="0.2">
      <c r="A15" s="7" t="s">
        <v>31</v>
      </c>
      <c r="B15" s="5" t="s">
        <v>19</v>
      </c>
      <c r="C15" s="6">
        <v>3</v>
      </c>
      <c r="D15" s="6">
        <v>3</v>
      </c>
      <c r="E15" s="6">
        <v>0</v>
      </c>
      <c r="F15" s="6">
        <v>0</v>
      </c>
      <c r="G15" s="6">
        <v>0</v>
      </c>
      <c r="H15" s="6">
        <f t="shared" si="0"/>
        <v>6</v>
      </c>
      <c r="I15" s="8">
        <v>1.5</v>
      </c>
    </row>
    <row r="16" spans="1:9" x14ac:dyDescent="0.2">
      <c r="A16" s="7"/>
      <c r="B16" s="5" t="s">
        <v>20</v>
      </c>
      <c r="C16" s="6">
        <v>4</v>
      </c>
      <c r="D16" s="6">
        <v>2</v>
      </c>
      <c r="E16" s="6">
        <v>0</v>
      </c>
      <c r="F16" s="6">
        <v>0</v>
      </c>
      <c r="G16" s="6">
        <v>0</v>
      </c>
      <c r="H16" s="6">
        <f t="shared" si="0"/>
        <v>6</v>
      </c>
      <c r="I16" s="8">
        <v>1</v>
      </c>
    </row>
    <row r="17" spans="1:9" x14ac:dyDescent="0.2">
      <c r="A17" s="7"/>
      <c r="B17" s="5" t="s">
        <v>32</v>
      </c>
      <c r="C17" s="6">
        <v>4</v>
      </c>
      <c r="D17" s="6">
        <v>1</v>
      </c>
      <c r="E17" s="6">
        <v>1</v>
      </c>
      <c r="F17" s="6">
        <v>0</v>
      </c>
      <c r="G17" s="6">
        <v>0</v>
      </c>
      <c r="H17" s="6">
        <f t="shared" si="0"/>
        <v>6</v>
      </c>
      <c r="I17" s="8">
        <v>1</v>
      </c>
    </row>
    <row r="18" spans="1:9" x14ac:dyDescent="0.2">
      <c r="A18" s="7"/>
      <c r="B18" s="5" t="s">
        <v>33</v>
      </c>
      <c r="C18" s="6">
        <v>3</v>
      </c>
      <c r="D18" s="6">
        <v>2</v>
      </c>
      <c r="E18" s="6">
        <v>0</v>
      </c>
      <c r="F18" s="6">
        <v>1</v>
      </c>
      <c r="G18" s="6">
        <v>0</v>
      </c>
      <c r="H18" s="6">
        <f t="shared" si="0"/>
        <v>6</v>
      </c>
      <c r="I18" s="8">
        <v>1.5</v>
      </c>
    </row>
    <row r="19" spans="1:9" x14ac:dyDescent="0.2">
      <c r="A19" s="7"/>
      <c r="B19" s="5" t="s">
        <v>34</v>
      </c>
      <c r="C19" s="6">
        <v>1</v>
      </c>
      <c r="D19" s="6">
        <v>2</v>
      </c>
      <c r="E19" s="6">
        <v>2</v>
      </c>
      <c r="F19" s="6">
        <v>1</v>
      </c>
      <c r="G19" s="6">
        <v>0</v>
      </c>
      <c r="H19" s="6">
        <f t="shared" si="0"/>
        <v>6</v>
      </c>
      <c r="I19" s="8">
        <v>2.5</v>
      </c>
    </row>
    <row r="20" spans="1:9" x14ac:dyDescent="0.2">
      <c r="A20" s="7"/>
      <c r="B20" s="5" t="s">
        <v>35</v>
      </c>
      <c r="C20" s="6">
        <v>1</v>
      </c>
      <c r="D20" s="6">
        <v>2</v>
      </c>
      <c r="E20" s="6">
        <v>3</v>
      </c>
      <c r="F20" s="6">
        <v>0</v>
      </c>
      <c r="G20" s="6">
        <v>0</v>
      </c>
      <c r="H20" s="6">
        <f t="shared" si="0"/>
        <v>6</v>
      </c>
      <c r="I20" s="8">
        <v>2.5</v>
      </c>
    </row>
    <row r="21" spans="1:9" x14ac:dyDescent="0.2">
      <c r="A21" s="7" t="s">
        <v>36</v>
      </c>
      <c r="B21" s="5" t="s">
        <v>37</v>
      </c>
      <c r="C21" s="6">
        <v>0</v>
      </c>
      <c r="D21" s="6">
        <v>3</v>
      </c>
      <c r="E21" s="6">
        <v>3</v>
      </c>
      <c r="F21" s="6">
        <v>0</v>
      </c>
      <c r="G21" s="6">
        <v>0</v>
      </c>
      <c r="H21" s="6">
        <f t="shared" si="0"/>
        <v>6</v>
      </c>
      <c r="I21" s="8">
        <v>2.5</v>
      </c>
    </row>
    <row r="22" spans="1:9" x14ac:dyDescent="0.2">
      <c r="A22" s="7"/>
      <c r="B22" s="5" t="s">
        <v>38</v>
      </c>
      <c r="C22" s="6">
        <v>0</v>
      </c>
      <c r="D22" s="6">
        <v>3</v>
      </c>
      <c r="E22" s="6">
        <v>3</v>
      </c>
      <c r="F22" s="6">
        <v>0</v>
      </c>
      <c r="G22" s="6">
        <v>0</v>
      </c>
      <c r="H22" s="6">
        <f t="shared" si="0"/>
        <v>6</v>
      </c>
      <c r="I22" s="8">
        <v>2.5</v>
      </c>
    </row>
    <row r="23" spans="1:9" x14ac:dyDescent="0.2">
      <c r="A23" s="7"/>
      <c r="B23" s="5" t="s">
        <v>39</v>
      </c>
      <c r="C23" s="6">
        <v>0</v>
      </c>
      <c r="D23" s="6">
        <v>4</v>
      </c>
      <c r="E23" s="6">
        <v>2</v>
      </c>
      <c r="F23" s="6">
        <v>0</v>
      </c>
      <c r="G23" s="6">
        <v>0</v>
      </c>
      <c r="H23" s="6">
        <f t="shared" si="0"/>
        <v>6</v>
      </c>
      <c r="I23" s="8">
        <v>2</v>
      </c>
    </row>
    <row r="24" spans="1:9" x14ac:dyDescent="0.2">
      <c r="A24" s="7" t="s">
        <v>40</v>
      </c>
      <c r="B24" s="5" t="s">
        <v>41</v>
      </c>
      <c r="C24" s="6">
        <v>2</v>
      </c>
      <c r="D24" s="6">
        <v>3</v>
      </c>
      <c r="E24" s="6">
        <v>0</v>
      </c>
      <c r="F24" s="6">
        <v>0</v>
      </c>
      <c r="G24" s="6">
        <v>1</v>
      </c>
      <c r="H24" s="6">
        <f t="shared" si="0"/>
        <v>6</v>
      </c>
      <c r="I24" s="8">
        <v>2</v>
      </c>
    </row>
    <row r="25" spans="1:9" x14ac:dyDescent="0.2">
      <c r="A25" s="7"/>
      <c r="B25" s="5" t="s">
        <v>42</v>
      </c>
      <c r="C25" s="6">
        <v>2</v>
      </c>
      <c r="D25" s="6">
        <v>3</v>
      </c>
      <c r="E25" s="6">
        <v>0</v>
      </c>
      <c r="F25" s="6">
        <v>0</v>
      </c>
      <c r="G25" s="6">
        <v>1</v>
      </c>
      <c r="H25" s="6">
        <f t="shared" si="0"/>
        <v>6</v>
      </c>
      <c r="I25" s="8">
        <v>2</v>
      </c>
    </row>
    <row r="26" spans="1:9" x14ac:dyDescent="0.2">
      <c r="A26" s="7"/>
      <c r="B26" s="5" t="s">
        <v>43</v>
      </c>
      <c r="C26" s="6">
        <v>1</v>
      </c>
      <c r="D26" s="6">
        <v>0</v>
      </c>
      <c r="E26" s="6">
        <v>2</v>
      </c>
      <c r="F26" s="6">
        <v>2</v>
      </c>
      <c r="G26" s="6">
        <v>1</v>
      </c>
      <c r="H26" s="6">
        <f t="shared" si="0"/>
        <v>6</v>
      </c>
      <c r="I26" s="8">
        <v>3.5</v>
      </c>
    </row>
    <row r="27" spans="1:9" x14ac:dyDescent="0.2">
      <c r="A27" s="7"/>
      <c r="B27" s="5" t="s">
        <v>44</v>
      </c>
      <c r="C27" s="6">
        <v>2</v>
      </c>
      <c r="D27" s="6">
        <v>0</v>
      </c>
      <c r="E27" s="6">
        <v>1</v>
      </c>
      <c r="F27" s="6">
        <v>2</v>
      </c>
      <c r="G27" s="6">
        <v>1</v>
      </c>
      <c r="H27" s="6">
        <f t="shared" si="0"/>
        <v>6</v>
      </c>
      <c r="I27" s="8">
        <v>3.5</v>
      </c>
    </row>
    <row r="28" spans="1:9" x14ac:dyDescent="0.2">
      <c r="A28" s="7"/>
      <c r="B28" s="5" t="s">
        <v>45</v>
      </c>
      <c r="C28" s="6">
        <v>1</v>
      </c>
      <c r="D28" s="6">
        <v>3</v>
      </c>
      <c r="E28" s="6">
        <v>0</v>
      </c>
      <c r="F28" s="6">
        <v>2</v>
      </c>
      <c r="G28" s="6">
        <v>0</v>
      </c>
      <c r="H28" s="6">
        <f t="shared" si="0"/>
        <v>6</v>
      </c>
      <c r="I28" s="8">
        <v>2</v>
      </c>
    </row>
    <row r="29" spans="1:9" x14ac:dyDescent="0.2">
      <c r="A29" s="7"/>
      <c r="B29" s="5" t="s">
        <v>46</v>
      </c>
      <c r="C29" s="6">
        <v>1</v>
      </c>
      <c r="D29" s="6">
        <v>4</v>
      </c>
      <c r="E29" s="6">
        <v>1</v>
      </c>
      <c r="F29" s="6">
        <v>0</v>
      </c>
      <c r="G29" s="6">
        <v>0</v>
      </c>
      <c r="H29" s="6">
        <f t="shared" si="0"/>
        <v>6</v>
      </c>
      <c r="I29" s="8">
        <v>2</v>
      </c>
    </row>
    <row r="30" spans="1:9" x14ac:dyDescent="0.2">
      <c r="A30" s="7"/>
      <c r="B30" s="5" t="s">
        <v>47</v>
      </c>
      <c r="C30" s="6">
        <v>1</v>
      </c>
      <c r="D30" s="6">
        <v>2</v>
      </c>
      <c r="E30" s="6">
        <v>3</v>
      </c>
      <c r="F30" s="6">
        <v>0</v>
      </c>
      <c r="G30" s="6">
        <v>0</v>
      </c>
      <c r="H30" s="6">
        <f t="shared" si="0"/>
        <v>6</v>
      </c>
      <c r="I30" s="8">
        <v>2.5</v>
      </c>
    </row>
    <row r="31" spans="1:9" x14ac:dyDescent="0.2">
      <c r="A31" s="7"/>
      <c r="B31" s="5" t="s">
        <v>48</v>
      </c>
      <c r="C31" s="6">
        <v>1</v>
      </c>
      <c r="D31" s="6">
        <v>1</v>
      </c>
      <c r="E31" s="6">
        <v>4</v>
      </c>
      <c r="F31" s="6">
        <v>0</v>
      </c>
      <c r="G31" s="6">
        <v>0</v>
      </c>
      <c r="H31" s="6">
        <f t="shared" si="0"/>
        <v>6</v>
      </c>
      <c r="I31" s="8">
        <v>3</v>
      </c>
    </row>
    <row r="32" spans="1:9" x14ac:dyDescent="0.2">
      <c r="A32" s="7" t="s">
        <v>49</v>
      </c>
      <c r="B32" s="5" t="s">
        <v>50</v>
      </c>
      <c r="C32" s="6">
        <v>2</v>
      </c>
      <c r="D32" s="6">
        <v>2</v>
      </c>
      <c r="E32" s="6">
        <v>0</v>
      </c>
      <c r="F32" s="6">
        <v>2</v>
      </c>
      <c r="G32" s="6">
        <v>0</v>
      </c>
      <c r="H32" s="6">
        <f t="shared" si="0"/>
        <v>6</v>
      </c>
      <c r="I32" s="8">
        <v>2</v>
      </c>
    </row>
    <row r="33" spans="1:9" x14ac:dyDescent="0.2">
      <c r="A33" s="7"/>
      <c r="B33" s="5" t="s">
        <v>51</v>
      </c>
      <c r="C33" s="6">
        <v>1</v>
      </c>
      <c r="D33" s="6">
        <v>1</v>
      </c>
      <c r="E33" s="6">
        <v>2</v>
      </c>
      <c r="F33" s="6">
        <v>2</v>
      </c>
      <c r="G33" s="6">
        <v>0</v>
      </c>
      <c r="H33" s="6">
        <f t="shared" si="0"/>
        <v>6</v>
      </c>
      <c r="I33" s="8">
        <v>3</v>
      </c>
    </row>
    <row r="34" spans="1:9" x14ac:dyDescent="0.2">
      <c r="A34" s="7"/>
      <c r="B34" s="5" t="s">
        <v>52</v>
      </c>
      <c r="C34" s="6">
        <v>3</v>
      </c>
      <c r="D34" s="6">
        <v>2</v>
      </c>
      <c r="E34" s="6">
        <v>0</v>
      </c>
      <c r="F34" s="6">
        <v>1</v>
      </c>
      <c r="G34" s="6">
        <v>0</v>
      </c>
      <c r="H34" s="6">
        <f t="shared" si="0"/>
        <v>6</v>
      </c>
      <c r="I34" s="8">
        <v>1.5</v>
      </c>
    </row>
    <row r="35" spans="1:9" x14ac:dyDescent="0.2">
      <c r="A35" s="7"/>
      <c r="B35" s="5" t="s">
        <v>53</v>
      </c>
      <c r="C35" s="6">
        <v>1</v>
      </c>
      <c r="D35" s="6">
        <v>1</v>
      </c>
      <c r="E35" s="6">
        <v>1</v>
      </c>
      <c r="F35" s="6">
        <v>2</v>
      </c>
      <c r="G35" s="6">
        <v>1</v>
      </c>
      <c r="H35" s="6">
        <f t="shared" si="0"/>
        <v>6</v>
      </c>
      <c r="I35" s="8">
        <v>3.5</v>
      </c>
    </row>
    <row r="36" spans="1:9" x14ac:dyDescent="0.2">
      <c r="A36" s="7"/>
      <c r="B36" s="5" t="s">
        <v>54</v>
      </c>
      <c r="C36" s="6">
        <v>3</v>
      </c>
      <c r="D36" s="6">
        <v>2</v>
      </c>
      <c r="E36" s="6">
        <v>1</v>
      </c>
      <c r="F36" s="6">
        <v>0</v>
      </c>
      <c r="G36" s="6">
        <v>0</v>
      </c>
      <c r="H36" s="6">
        <f t="shared" si="0"/>
        <v>6</v>
      </c>
      <c r="I36" s="8">
        <v>1.5</v>
      </c>
    </row>
    <row r="37" spans="1:9" x14ac:dyDescent="0.2">
      <c r="A37" s="7" t="s">
        <v>55</v>
      </c>
      <c r="B37" s="5" t="s">
        <v>56</v>
      </c>
      <c r="C37" s="6">
        <v>2</v>
      </c>
      <c r="D37" s="6">
        <v>2</v>
      </c>
      <c r="E37" s="6">
        <v>2</v>
      </c>
      <c r="F37" s="6">
        <v>0</v>
      </c>
      <c r="G37" s="6">
        <v>0</v>
      </c>
      <c r="H37" s="6">
        <f t="shared" si="0"/>
        <v>6</v>
      </c>
      <c r="I37" s="8">
        <v>2</v>
      </c>
    </row>
    <row r="38" spans="1:9" x14ac:dyDescent="0.2">
      <c r="A38" s="7"/>
      <c r="B38" s="5" t="s">
        <v>57</v>
      </c>
      <c r="C38" s="6">
        <v>3</v>
      </c>
      <c r="D38" s="6">
        <v>1</v>
      </c>
      <c r="E38" s="6">
        <v>2</v>
      </c>
      <c r="F38" s="6">
        <v>0</v>
      </c>
      <c r="G38" s="6">
        <v>0</v>
      </c>
      <c r="H38" s="6">
        <f t="shared" si="0"/>
        <v>6</v>
      </c>
      <c r="I38" s="8">
        <v>1.5</v>
      </c>
    </row>
    <row r="39" spans="1:9" x14ac:dyDescent="0.2">
      <c r="A39" s="7"/>
      <c r="B39" s="5" t="s">
        <v>58</v>
      </c>
      <c r="C39" s="6">
        <v>1</v>
      </c>
      <c r="D39" s="6">
        <v>3</v>
      </c>
      <c r="E39" s="6">
        <v>2</v>
      </c>
      <c r="F39" s="6">
        <v>0</v>
      </c>
      <c r="G39" s="6">
        <v>0</v>
      </c>
      <c r="H39" s="6">
        <f t="shared" si="0"/>
        <v>6</v>
      </c>
      <c r="I39" s="8">
        <v>2</v>
      </c>
    </row>
    <row r="40" spans="1:9" x14ac:dyDescent="0.2">
      <c r="A40" s="9"/>
      <c r="B40" s="10" t="s">
        <v>59</v>
      </c>
      <c r="C40" s="11">
        <v>3</v>
      </c>
      <c r="D40" s="11">
        <v>0</v>
      </c>
      <c r="E40" s="11">
        <v>3</v>
      </c>
      <c r="F40" s="11">
        <v>0</v>
      </c>
      <c r="G40" s="11">
        <v>0</v>
      </c>
      <c r="H40" s="11">
        <f t="shared" si="0"/>
        <v>6</v>
      </c>
      <c r="I40" s="12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C8777-FAF0-E94A-B5BD-7646A791BE0A}">
  <dimension ref="A1:I40"/>
  <sheetViews>
    <sheetView workbookViewId="0">
      <selection activeCell="F20" sqref="F20"/>
    </sheetView>
  </sheetViews>
  <sheetFormatPr baseColWidth="10" defaultRowHeight="16" x14ac:dyDescent="0.2"/>
  <cols>
    <col min="1" max="1" width="17.1640625" customWidth="1"/>
    <col min="2" max="2" width="16.33203125" customWidth="1"/>
    <col min="3" max="3" width="19.5" customWidth="1"/>
    <col min="7" max="7" width="14.5" customWidth="1"/>
    <col min="8" max="8" width="15.6640625" customWidth="1"/>
  </cols>
  <sheetData>
    <row r="1" spans="1:9" ht="22" x14ac:dyDescent="0.3">
      <c r="A1" s="3" t="s">
        <v>61</v>
      </c>
    </row>
    <row r="3" spans="1:9" ht="45" x14ac:dyDescent="0.2">
      <c r="A3" s="13" t="s">
        <v>9</v>
      </c>
      <c r="B3" s="14" t="s">
        <v>10</v>
      </c>
      <c r="C3" s="14" t="s">
        <v>11</v>
      </c>
      <c r="D3" s="14" t="s">
        <v>12</v>
      </c>
      <c r="E3" s="14" t="s">
        <v>13</v>
      </c>
      <c r="F3" s="14" t="s">
        <v>14</v>
      </c>
      <c r="G3" s="14" t="s">
        <v>15</v>
      </c>
      <c r="H3" s="14" t="s">
        <v>16</v>
      </c>
      <c r="I3" s="15" t="s">
        <v>17</v>
      </c>
    </row>
    <row r="4" spans="1:9" x14ac:dyDescent="0.2">
      <c r="A4" s="7" t="s">
        <v>18</v>
      </c>
      <c r="B4" s="5" t="s">
        <v>19</v>
      </c>
      <c r="C4" s="6">
        <v>1</v>
      </c>
      <c r="D4" s="6">
        <v>2</v>
      </c>
      <c r="E4" s="6">
        <v>1</v>
      </c>
      <c r="F4" s="6">
        <v>2</v>
      </c>
      <c r="G4" s="6">
        <v>1</v>
      </c>
      <c r="H4" s="6">
        <f t="shared" ref="H4:H40" si="0">SUM(C4:G4)</f>
        <v>7</v>
      </c>
      <c r="I4" s="8">
        <v>3</v>
      </c>
    </row>
    <row r="5" spans="1:9" x14ac:dyDescent="0.2">
      <c r="A5" s="7"/>
      <c r="B5" s="5" t="s">
        <v>20</v>
      </c>
      <c r="C5" s="6">
        <v>2</v>
      </c>
      <c r="D5" s="6">
        <v>1</v>
      </c>
      <c r="E5" s="6">
        <v>2</v>
      </c>
      <c r="F5" s="6">
        <v>1</v>
      </c>
      <c r="G5" s="6">
        <v>1</v>
      </c>
      <c r="H5" s="6">
        <f t="shared" si="0"/>
        <v>7</v>
      </c>
      <c r="I5" s="8">
        <v>3</v>
      </c>
    </row>
    <row r="6" spans="1:9" x14ac:dyDescent="0.2">
      <c r="A6" s="7"/>
      <c r="B6" s="5" t="s">
        <v>21</v>
      </c>
      <c r="C6" s="6">
        <v>2</v>
      </c>
      <c r="D6" s="6">
        <v>2</v>
      </c>
      <c r="E6" s="6">
        <v>2</v>
      </c>
      <c r="F6" s="6">
        <v>1</v>
      </c>
      <c r="G6" s="6">
        <v>0</v>
      </c>
      <c r="H6" s="6">
        <f t="shared" si="0"/>
        <v>7</v>
      </c>
      <c r="I6" s="8">
        <v>2</v>
      </c>
    </row>
    <row r="7" spans="1:9" x14ac:dyDescent="0.2">
      <c r="A7" s="7"/>
      <c r="B7" s="5" t="s">
        <v>22</v>
      </c>
      <c r="C7" s="6">
        <v>1</v>
      </c>
      <c r="D7" s="6">
        <v>1</v>
      </c>
      <c r="E7" s="6">
        <v>4</v>
      </c>
      <c r="F7" s="6">
        <v>1</v>
      </c>
      <c r="G7" s="6">
        <v>0</v>
      </c>
      <c r="H7" s="6">
        <f t="shared" si="0"/>
        <v>7</v>
      </c>
      <c r="I7" s="8">
        <v>3</v>
      </c>
    </row>
    <row r="8" spans="1:9" x14ac:dyDescent="0.2">
      <c r="A8" s="7"/>
      <c r="B8" s="5" t="s">
        <v>23</v>
      </c>
      <c r="C8" s="6">
        <v>2</v>
      </c>
      <c r="D8" s="6">
        <v>3</v>
      </c>
      <c r="E8" s="6">
        <v>1</v>
      </c>
      <c r="F8" s="6">
        <v>1</v>
      </c>
      <c r="G8" s="6">
        <v>0</v>
      </c>
      <c r="H8" s="6">
        <f t="shared" si="0"/>
        <v>7</v>
      </c>
      <c r="I8" s="8">
        <v>2</v>
      </c>
    </row>
    <row r="9" spans="1:9" x14ac:dyDescent="0.2">
      <c r="A9" s="7" t="s">
        <v>24</v>
      </c>
      <c r="B9" s="5" t="s">
        <v>25</v>
      </c>
      <c r="C9" s="6">
        <v>6</v>
      </c>
      <c r="D9" s="6">
        <v>1</v>
      </c>
      <c r="E9" s="6">
        <v>0</v>
      </c>
      <c r="F9" s="6">
        <v>0</v>
      </c>
      <c r="G9" s="6">
        <v>0</v>
      </c>
      <c r="H9" s="6">
        <f t="shared" si="0"/>
        <v>7</v>
      </c>
      <c r="I9" s="8">
        <v>1</v>
      </c>
    </row>
    <row r="10" spans="1:9" x14ac:dyDescent="0.2">
      <c r="A10" s="7"/>
      <c r="B10" s="5" t="s">
        <v>26</v>
      </c>
      <c r="C10" s="6">
        <v>5</v>
      </c>
      <c r="D10" s="6">
        <v>1</v>
      </c>
      <c r="E10" s="6">
        <v>0</v>
      </c>
      <c r="F10" s="6">
        <v>1</v>
      </c>
      <c r="G10" s="6">
        <v>0</v>
      </c>
      <c r="H10" s="6">
        <f t="shared" si="0"/>
        <v>7</v>
      </c>
      <c r="I10" s="8">
        <v>1</v>
      </c>
    </row>
    <row r="11" spans="1:9" x14ac:dyDescent="0.2">
      <c r="A11" s="7"/>
      <c r="B11" s="5" t="s">
        <v>27</v>
      </c>
      <c r="C11" s="6">
        <v>4</v>
      </c>
      <c r="D11" s="6">
        <v>1</v>
      </c>
      <c r="E11" s="6">
        <v>2</v>
      </c>
      <c r="F11" s="6">
        <v>0</v>
      </c>
      <c r="G11" s="6">
        <v>0</v>
      </c>
      <c r="H11" s="6">
        <f t="shared" si="0"/>
        <v>7</v>
      </c>
      <c r="I11" s="8">
        <v>1</v>
      </c>
    </row>
    <row r="12" spans="1:9" x14ac:dyDescent="0.2">
      <c r="A12" s="7"/>
      <c r="B12" s="5" t="s">
        <v>28</v>
      </c>
      <c r="C12" s="6">
        <v>3</v>
      </c>
      <c r="D12" s="6">
        <v>4</v>
      </c>
      <c r="E12" s="6">
        <v>0</v>
      </c>
      <c r="F12" s="6">
        <v>0</v>
      </c>
      <c r="G12" s="6">
        <v>0</v>
      </c>
      <c r="H12" s="6">
        <f t="shared" si="0"/>
        <v>7</v>
      </c>
      <c r="I12" s="8">
        <v>2</v>
      </c>
    </row>
    <row r="13" spans="1:9" x14ac:dyDescent="0.2">
      <c r="A13" s="7"/>
      <c r="B13" s="5" t="s">
        <v>29</v>
      </c>
      <c r="C13" s="6">
        <v>3</v>
      </c>
      <c r="D13" s="6">
        <v>3</v>
      </c>
      <c r="E13" s="6">
        <v>0</v>
      </c>
      <c r="F13" s="6">
        <v>1</v>
      </c>
      <c r="G13" s="6">
        <v>0</v>
      </c>
      <c r="H13" s="6">
        <f t="shared" si="0"/>
        <v>7</v>
      </c>
      <c r="I13" s="8">
        <v>2</v>
      </c>
    </row>
    <row r="14" spans="1:9" x14ac:dyDescent="0.2">
      <c r="A14" s="7"/>
      <c r="B14" s="5" t="s">
        <v>30</v>
      </c>
      <c r="C14" s="6">
        <v>1</v>
      </c>
      <c r="D14" s="6">
        <v>4</v>
      </c>
      <c r="E14" s="6">
        <v>1</v>
      </c>
      <c r="F14" s="6">
        <v>1</v>
      </c>
      <c r="G14" s="6">
        <v>0</v>
      </c>
      <c r="H14" s="6">
        <f t="shared" si="0"/>
        <v>7</v>
      </c>
      <c r="I14" s="8">
        <v>2</v>
      </c>
    </row>
    <row r="15" spans="1:9" x14ac:dyDescent="0.2">
      <c r="A15" s="7" t="s">
        <v>31</v>
      </c>
      <c r="B15" s="5" t="s">
        <v>19</v>
      </c>
      <c r="C15" s="6">
        <v>0</v>
      </c>
      <c r="D15" s="6">
        <v>2</v>
      </c>
      <c r="E15" s="6">
        <v>2</v>
      </c>
      <c r="F15" s="6">
        <v>1</v>
      </c>
      <c r="G15" s="6">
        <v>2</v>
      </c>
      <c r="H15" s="6">
        <f t="shared" si="0"/>
        <v>7</v>
      </c>
      <c r="I15" s="8">
        <v>3</v>
      </c>
    </row>
    <row r="16" spans="1:9" x14ac:dyDescent="0.2">
      <c r="A16" s="7"/>
      <c r="B16" s="5" t="s">
        <v>20</v>
      </c>
      <c r="C16" s="6">
        <v>2</v>
      </c>
      <c r="D16" s="6">
        <v>2</v>
      </c>
      <c r="E16" s="6">
        <v>1</v>
      </c>
      <c r="F16" s="6">
        <v>1</v>
      </c>
      <c r="G16" s="6">
        <v>1</v>
      </c>
      <c r="H16" s="6">
        <f t="shared" si="0"/>
        <v>7</v>
      </c>
      <c r="I16" s="8">
        <v>2</v>
      </c>
    </row>
    <row r="17" spans="1:9" x14ac:dyDescent="0.2">
      <c r="A17" s="7"/>
      <c r="B17" s="5" t="s">
        <v>32</v>
      </c>
      <c r="C17" s="6">
        <v>4</v>
      </c>
      <c r="D17" s="6">
        <v>1</v>
      </c>
      <c r="E17" s="6">
        <v>1</v>
      </c>
      <c r="F17" s="6">
        <v>1</v>
      </c>
      <c r="G17" s="6">
        <v>0</v>
      </c>
      <c r="H17" s="6">
        <f t="shared" si="0"/>
        <v>7</v>
      </c>
      <c r="I17" s="8">
        <v>1</v>
      </c>
    </row>
    <row r="18" spans="1:9" x14ac:dyDescent="0.2">
      <c r="A18" s="7"/>
      <c r="B18" s="5" t="s">
        <v>33</v>
      </c>
      <c r="C18" s="6">
        <v>4</v>
      </c>
      <c r="D18" s="6">
        <v>1</v>
      </c>
      <c r="E18" s="6">
        <v>0</v>
      </c>
      <c r="F18" s="6">
        <v>2</v>
      </c>
      <c r="G18" s="6">
        <v>0</v>
      </c>
      <c r="H18" s="6">
        <f t="shared" si="0"/>
        <v>7</v>
      </c>
      <c r="I18" s="8">
        <v>1</v>
      </c>
    </row>
    <row r="19" spans="1:9" x14ac:dyDescent="0.2">
      <c r="A19" s="7"/>
      <c r="B19" s="5" t="s">
        <v>34</v>
      </c>
      <c r="C19" s="6">
        <v>1</v>
      </c>
      <c r="D19" s="6">
        <v>2</v>
      </c>
      <c r="E19" s="6">
        <v>0</v>
      </c>
      <c r="F19" s="6">
        <v>3</v>
      </c>
      <c r="G19" s="6">
        <v>1</v>
      </c>
      <c r="H19" s="6">
        <f t="shared" si="0"/>
        <v>7</v>
      </c>
      <c r="I19" s="8">
        <v>4</v>
      </c>
    </row>
    <row r="20" spans="1:9" x14ac:dyDescent="0.2">
      <c r="A20" s="7"/>
      <c r="B20" s="5" t="s">
        <v>35</v>
      </c>
      <c r="C20" s="6">
        <v>2</v>
      </c>
      <c r="D20" s="6">
        <v>1</v>
      </c>
      <c r="E20" s="6">
        <v>1</v>
      </c>
      <c r="F20" s="6">
        <v>2</v>
      </c>
      <c r="G20" s="6">
        <v>1</v>
      </c>
      <c r="H20" s="6">
        <f t="shared" si="0"/>
        <v>7</v>
      </c>
      <c r="I20" s="8">
        <v>3</v>
      </c>
    </row>
    <row r="21" spans="1:9" x14ac:dyDescent="0.2">
      <c r="A21" s="7" t="s">
        <v>36</v>
      </c>
      <c r="B21" s="5" t="s">
        <v>37</v>
      </c>
      <c r="C21" s="6">
        <v>2</v>
      </c>
      <c r="D21" s="6">
        <v>4</v>
      </c>
      <c r="E21" s="6">
        <v>0</v>
      </c>
      <c r="F21" s="6">
        <v>0</v>
      </c>
      <c r="G21" s="6">
        <v>1</v>
      </c>
      <c r="H21" s="6">
        <f t="shared" si="0"/>
        <v>7</v>
      </c>
      <c r="I21" s="8">
        <v>2</v>
      </c>
    </row>
    <row r="22" spans="1:9" x14ac:dyDescent="0.2">
      <c r="A22" s="7"/>
      <c r="B22" s="5" t="s">
        <v>38</v>
      </c>
      <c r="C22" s="6">
        <v>3</v>
      </c>
      <c r="D22" s="6">
        <v>2</v>
      </c>
      <c r="E22" s="6">
        <v>2</v>
      </c>
      <c r="F22" s="6">
        <v>0</v>
      </c>
      <c r="G22" s="6">
        <v>0</v>
      </c>
      <c r="H22" s="6">
        <f t="shared" si="0"/>
        <v>7</v>
      </c>
      <c r="I22" s="8">
        <v>2</v>
      </c>
    </row>
    <row r="23" spans="1:9" x14ac:dyDescent="0.2">
      <c r="A23" s="7"/>
      <c r="B23" s="5" t="s">
        <v>39</v>
      </c>
      <c r="C23" s="6">
        <v>3</v>
      </c>
      <c r="D23" s="6">
        <v>4</v>
      </c>
      <c r="E23" s="6">
        <v>0</v>
      </c>
      <c r="F23" s="6">
        <v>0</v>
      </c>
      <c r="G23" s="6">
        <v>0</v>
      </c>
      <c r="H23" s="6">
        <f t="shared" si="0"/>
        <v>7</v>
      </c>
      <c r="I23" s="8">
        <v>2</v>
      </c>
    </row>
    <row r="24" spans="1:9" x14ac:dyDescent="0.2">
      <c r="A24" s="7" t="s">
        <v>40</v>
      </c>
      <c r="B24" s="5" t="s">
        <v>41</v>
      </c>
      <c r="C24" s="6">
        <v>0</v>
      </c>
      <c r="D24" s="6">
        <v>2</v>
      </c>
      <c r="E24" s="6">
        <v>1</v>
      </c>
      <c r="F24" s="6">
        <v>2</v>
      </c>
      <c r="G24" s="6">
        <v>2</v>
      </c>
      <c r="H24" s="6">
        <f t="shared" si="0"/>
        <v>7</v>
      </c>
      <c r="I24" s="8">
        <v>4</v>
      </c>
    </row>
    <row r="25" spans="1:9" x14ac:dyDescent="0.2">
      <c r="A25" s="7"/>
      <c r="B25" s="5" t="s">
        <v>42</v>
      </c>
      <c r="C25" s="6">
        <v>3</v>
      </c>
      <c r="D25" s="6">
        <v>1</v>
      </c>
      <c r="E25" s="6">
        <v>1</v>
      </c>
      <c r="F25" s="6">
        <v>1</v>
      </c>
      <c r="G25" s="6">
        <v>1</v>
      </c>
      <c r="H25" s="6">
        <f t="shared" si="0"/>
        <v>7</v>
      </c>
      <c r="I25" s="8">
        <v>2</v>
      </c>
    </row>
    <row r="26" spans="1:9" x14ac:dyDescent="0.2">
      <c r="A26" s="7"/>
      <c r="B26" s="5" t="s">
        <v>43</v>
      </c>
      <c r="C26" s="6">
        <v>1</v>
      </c>
      <c r="D26" s="6">
        <v>2</v>
      </c>
      <c r="E26" s="6">
        <v>1</v>
      </c>
      <c r="F26" s="6">
        <v>1</v>
      </c>
      <c r="G26" s="6">
        <v>2</v>
      </c>
      <c r="H26" s="6">
        <f t="shared" si="0"/>
        <v>7</v>
      </c>
      <c r="I26" s="8">
        <v>3</v>
      </c>
    </row>
    <row r="27" spans="1:9" x14ac:dyDescent="0.2">
      <c r="A27" s="7"/>
      <c r="B27" s="5" t="s">
        <v>44</v>
      </c>
      <c r="C27" s="6">
        <v>1</v>
      </c>
      <c r="D27" s="6">
        <v>3</v>
      </c>
      <c r="E27" s="6">
        <v>1</v>
      </c>
      <c r="F27" s="6">
        <v>1</v>
      </c>
      <c r="G27" s="6">
        <v>1</v>
      </c>
      <c r="H27" s="6">
        <f t="shared" si="0"/>
        <v>7</v>
      </c>
      <c r="I27" s="8">
        <v>2</v>
      </c>
    </row>
    <row r="28" spans="1:9" x14ac:dyDescent="0.2">
      <c r="A28" s="7"/>
      <c r="B28" s="5" t="s">
        <v>45</v>
      </c>
      <c r="C28" s="6">
        <v>4</v>
      </c>
      <c r="D28" s="6">
        <v>0</v>
      </c>
      <c r="E28" s="6">
        <v>1</v>
      </c>
      <c r="F28" s="6">
        <v>1</v>
      </c>
      <c r="G28" s="6">
        <v>1</v>
      </c>
      <c r="H28" s="6">
        <f t="shared" si="0"/>
        <v>7</v>
      </c>
      <c r="I28" s="8">
        <v>1</v>
      </c>
    </row>
    <row r="29" spans="1:9" x14ac:dyDescent="0.2">
      <c r="A29" s="7"/>
      <c r="B29" s="5" t="s">
        <v>46</v>
      </c>
      <c r="C29" s="6">
        <v>4</v>
      </c>
      <c r="D29" s="6">
        <v>3</v>
      </c>
      <c r="E29" s="6">
        <v>0</v>
      </c>
      <c r="F29" s="6">
        <v>0</v>
      </c>
      <c r="G29" s="6">
        <v>0</v>
      </c>
      <c r="H29" s="6">
        <f t="shared" si="0"/>
        <v>7</v>
      </c>
      <c r="I29" s="8">
        <v>1</v>
      </c>
    </row>
    <row r="30" spans="1:9" x14ac:dyDescent="0.2">
      <c r="A30" s="7"/>
      <c r="B30" s="5" t="s">
        <v>47</v>
      </c>
      <c r="C30" s="6">
        <v>3</v>
      </c>
      <c r="D30" s="6">
        <v>2</v>
      </c>
      <c r="E30" s="6">
        <v>2</v>
      </c>
      <c r="F30" s="6">
        <v>0</v>
      </c>
      <c r="G30" s="6">
        <v>0</v>
      </c>
      <c r="H30" s="6">
        <f t="shared" si="0"/>
        <v>7</v>
      </c>
      <c r="I30" s="8">
        <v>2</v>
      </c>
    </row>
    <row r="31" spans="1:9" x14ac:dyDescent="0.2">
      <c r="A31" s="7"/>
      <c r="B31" s="5" t="s">
        <v>48</v>
      </c>
      <c r="C31" s="6">
        <v>2</v>
      </c>
      <c r="D31" s="6">
        <v>2</v>
      </c>
      <c r="E31" s="6">
        <v>0</v>
      </c>
      <c r="F31" s="6">
        <v>1</v>
      </c>
      <c r="G31" s="6">
        <v>2</v>
      </c>
      <c r="H31" s="6">
        <f t="shared" si="0"/>
        <v>7</v>
      </c>
      <c r="I31" s="8">
        <v>2</v>
      </c>
    </row>
    <row r="32" spans="1:9" x14ac:dyDescent="0.2">
      <c r="A32" s="7" t="s">
        <v>49</v>
      </c>
      <c r="B32" s="5" t="s">
        <v>50</v>
      </c>
      <c r="C32" s="6">
        <v>2</v>
      </c>
      <c r="D32" s="6">
        <v>1</v>
      </c>
      <c r="E32" s="6">
        <v>3</v>
      </c>
      <c r="F32" s="6">
        <v>0</v>
      </c>
      <c r="G32" s="6">
        <v>1</v>
      </c>
      <c r="H32" s="6">
        <f t="shared" si="0"/>
        <v>7</v>
      </c>
      <c r="I32" s="8">
        <v>3</v>
      </c>
    </row>
    <row r="33" spans="1:9" x14ac:dyDescent="0.2">
      <c r="A33" s="7"/>
      <c r="B33" s="5" t="s">
        <v>51</v>
      </c>
      <c r="C33" s="6">
        <v>0</v>
      </c>
      <c r="D33" s="6">
        <v>2</v>
      </c>
      <c r="E33" s="6">
        <v>3</v>
      </c>
      <c r="F33" s="6">
        <v>0</v>
      </c>
      <c r="G33" s="6">
        <v>2</v>
      </c>
      <c r="H33" s="6">
        <f t="shared" si="0"/>
        <v>7</v>
      </c>
      <c r="I33" s="8">
        <v>3</v>
      </c>
    </row>
    <row r="34" spans="1:9" x14ac:dyDescent="0.2">
      <c r="A34" s="7"/>
      <c r="B34" s="5" t="s">
        <v>52</v>
      </c>
      <c r="C34" s="6">
        <v>4</v>
      </c>
      <c r="D34" s="6">
        <v>1</v>
      </c>
      <c r="E34" s="6">
        <v>2</v>
      </c>
      <c r="F34" s="6">
        <v>0</v>
      </c>
      <c r="G34" s="6">
        <v>0</v>
      </c>
      <c r="H34" s="6">
        <f t="shared" si="0"/>
        <v>7</v>
      </c>
      <c r="I34" s="8">
        <v>1</v>
      </c>
    </row>
    <row r="35" spans="1:9" x14ac:dyDescent="0.2">
      <c r="A35" s="7"/>
      <c r="B35" s="5" t="s">
        <v>53</v>
      </c>
      <c r="C35" s="6">
        <v>0</v>
      </c>
      <c r="D35" s="6">
        <v>3</v>
      </c>
      <c r="E35" s="6">
        <v>1</v>
      </c>
      <c r="F35" s="6">
        <v>1</v>
      </c>
      <c r="G35" s="6">
        <v>2</v>
      </c>
      <c r="H35" s="6">
        <f t="shared" si="0"/>
        <v>7</v>
      </c>
      <c r="I35" s="8">
        <v>3</v>
      </c>
    </row>
    <row r="36" spans="1:9" x14ac:dyDescent="0.2">
      <c r="A36" s="7"/>
      <c r="B36" s="5" t="s">
        <v>54</v>
      </c>
      <c r="C36" s="6">
        <v>5</v>
      </c>
      <c r="D36" s="6">
        <v>1</v>
      </c>
      <c r="E36" s="6">
        <v>1</v>
      </c>
      <c r="F36" s="6">
        <v>0</v>
      </c>
      <c r="G36" s="6">
        <v>0</v>
      </c>
      <c r="H36" s="6">
        <f t="shared" si="0"/>
        <v>7</v>
      </c>
      <c r="I36" s="8">
        <v>1</v>
      </c>
    </row>
    <row r="37" spans="1:9" x14ac:dyDescent="0.2">
      <c r="A37" s="7" t="s">
        <v>55</v>
      </c>
      <c r="B37" s="5" t="s">
        <v>56</v>
      </c>
      <c r="C37" s="6">
        <v>3</v>
      </c>
      <c r="D37" s="6">
        <v>0</v>
      </c>
      <c r="E37" s="6">
        <v>1</v>
      </c>
      <c r="F37" s="6">
        <v>1</v>
      </c>
      <c r="G37" s="6">
        <v>2</v>
      </c>
      <c r="H37" s="6">
        <f t="shared" si="0"/>
        <v>7</v>
      </c>
      <c r="I37" s="8">
        <v>3</v>
      </c>
    </row>
    <row r="38" spans="1:9" x14ac:dyDescent="0.2">
      <c r="A38" s="7"/>
      <c r="B38" s="5" t="s">
        <v>57</v>
      </c>
      <c r="C38" s="6">
        <v>2</v>
      </c>
      <c r="D38" s="6">
        <v>0</v>
      </c>
      <c r="E38" s="6">
        <v>3</v>
      </c>
      <c r="F38" s="6">
        <v>1</v>
      </c>
      <c r="G38" s="6">
        <v>1</v>
      </c>
      <c r="H38" s="6">
        <f t="shared" si="0"/>
        <v>7</v>
      </c>
      <c r="I38" s="8">
        <v>3</v>
      </c>
    </row>
    <row r="39" spans="1:9" x14ac:dyDescent="0.2">
      <c r="A39" s="7"/>
      <c r="B39" s="5" t="s">
        <v>58</v>
      </c>
      <c r="C39" s="6">
        <v>3</v>
      </c>
      <c r="D39" s="6">
        <v>2</v>
      </c>
      <c r="E39" s="6">
        <v>0</v>
      </c>
      <c r="F39" s="6">
        <v>1</v>
      </c>
      <c r="G39" s="6">
        <v>1</v>
      </c>
      <c r="H39" s="6">
        <f t="shared" si="0"/>
        <v>7</v>
      </c>
      <c r="I39" s="8">
        <v>2</v>
      </c>
    </row>
    <row r="40" spans="1:9" x14ac:dyDescent="0.2">
      <c r="A40" s="9"/>
      <c r="B40" s="10" t="s">
        <v>59</v>
      </c>
      <c r="C40" s="11">
        <v>2</v>
      </c>
      <c r="D40" s="11">
        <v>3</v>
      </c>
      <c r="E40" s="11">
        <v>0</v>
      </c>
      <c r="F40" s="11">
        <v>0</v>
      </c>
      <c r="G40" s="11">
        <v>2</v>
      </c>
      <c r="H40" s="11">
        <f t="shared" si="0"/>
        <v>7</v>
      </c>
      <c r="I40" s="12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8611D-94C6-164A-AED5-A9F7B25966E7}">
  <dimension ref="A1:I40"/>
  <sheetViews>
    <sheetView workbookViewId="0">
      <selection activeCell="M16" sqref="M16"/>
    </sheetView>
  </sheetViews>
  <sheetFormatPr baseColWidth="10" defaultRowHeight="16" x14ac:dyDescent="0.2"/>
  <cols>
    <col min="1" max="1" width="17.1640625" customWidth="1"/>
    <col min="2" max="2" width="16.33203125" customWidth="1"/>
    <col min="3" max="3" width="19.5" customWidth="1"/>
    <col min="7" max="7" width="14.5" customWidth="1"/>
    <col min="8" max="8" width="15.6640625" customWidth="1"/>
  </cols>
  <sheetData>
    <row r="1" spans="1:9" ht="22" x14ac:dyDescent="0.3">
      <c r="A1" s="3" t="s">
        <v>62</v>
      </c>
    </row>
    <row r="3" spans="1:9" ht="45" x14ac:dyDescent="0.2">
      <c r="A3" s="13" t="s">
        <v>9</v>
      </c>
      <c r="B3" s="14" t="s">
        <v>10</v>
      </c>
      <c r="C3" s="14" t="s">
        <v>11</v>
      </c>
      <c r="D3" s="14" t="s">
        <v>12</v>
      </c>
      <c r="E3" s="14" t="s">
        <v>13</v>
      </c>
      <c r="F3" s="14" t="s">
        <v>14</v>
      </c>
      <c r="G3" s="14" t="s">
        <v>15</v>
      </c>
      <c r="H3" s="14" t="s">
        <v>16</v>
      </c>
      <c r="I3" s="15" t="s">
        <v>17</v>
      </c>
    </row>
    <row r="4" spans="1:9" x14ac:dyDescent="0.2">
      <c r="A4" s="7" t="s">
        <v>18</v>
      </c>
      <c r="B4" s="5" t="s">
        <v>19</v>
      </c>
      <c r="C4" s="6">
        <v>1</v>
      </c>
      <c r="D4" s="6">
        <v>3</v>
      </c>
      <c r="E4" s="6">
        <v>1</v>
      </c>
      <c r="F4" s="6">
        <v>1</v>
      </c>
      <c r="G4" s="6">
        <v>0</v>
      </c>
      <c r="H4" s="6">
        <f t="shared" ref="H4:H40" si="0">SUM(C4:G4)</f>
        <v>6</v>
      </c>
      <c r="I4" s="8">
        <v>2</v>
      </c>
    </row>
    <row r="5" spans="1:9" x14ac:dyDescent="0.2">
      <c r="A5" s="7"/>
      <c r="B5" s="5" t="s">
        <v>20</v>
      </c>
      <c r="C5" s="6">
        <v>0</v>
      </c>
      <c r="D5" s="6">
        <v>3</v>
      </c>
      <c r="E5" s="6">
        <v>2</v>
      </c>
      <c r="F5" s="6">
        <v>1</v>
      </c>
      <c r="G5" s="6">
        <v>0</v>
      </c>
      <c r="H5" s="6">
        <f t="shared" si="0"/>
        <v>6</v>
      </c>
      <c r="I5" s="8">
        <v>2.5</v>
      </c>
    </row>
    <row r="6" spans="1:9" x14ac:dyDescent="0.2">
      <c r="A6" s="7"/>
      <c r="B6" s="5" t="s">
        <v>21</v>
      </c>
      <c r="C6" s="6">
        <v>1</v>
      </c>
      <c r="D6" s="6">
        <v>1</v>
      </c>
      <c r="E6" s="6">
        <v>2</v>
      </c>
      <c r="F6" s="6">
        <v>2</v>
      </c>
      <c r="G6" s="6">
        <v>0</v>
      </c>
      <c r="H6" s="6">
        <f t="shared" si="0"/>
        <v>6</v>
      </c>
      <c r="I6" s="8">
        <v>3</v>
      </c>
    </row>
    <row r="7" spans="1:9" x14ac:dyDescent="0.2">
      <c r="A7" s="7"/>
      <c r="B7" s="5" t="s">
        <v>22</v>
      </c>
      <c r="C7" s="6">
        <v>1</v>
      </c>
      <c r="D7" s="6">
        <v>4</v>
      </c>
      <c r="E7" s="6">
        <v>1</v>
      </c>
      <c r="F7" s="6">
        <v>0</v>
      </c>
      <c r="G7" s="6">
        <v>0</v>
      </c>
      <c r="H7" s="6">
        <f t="shared" si="0"/>
        <v>6</v>
      </c>
      <c r="I7" s="8">
        <v>2</v>
      </c>
    </row>
    <row r="8" spans="1:9" x14ac:dyDescent="0.2">
      <c r="A8" s="7"/>
      <c r="B8" s="5" t="s">
        <v>23</v>
      </c>
      <c r="C8" s="6">
        <v>1</v>
      </c>
      <c r="D8" s="6">
        <v>2</v>
      </c>
      <c r="E8" s="6">
        <v>0</v>
      </c>
      <c r="F8" s="6">
        <v>3</v>
      </c>
      <c r="G8" s="6">
        <v>0</v>
      </c>
      <c r="H8" s="6">
        <f t="shared" si="0"/>
        <v>6</v>
      </c>
      <c r="I8" s="8">
        <v>3</v>
      </c>
    </row>
    <row r="9" spans="1:9" x14ac:dyDescent="0.2">
      <c r="A9" s="7" t="s">
        <v>24</v>
      </c>
      <c r="B9" s="5" t="s">
        <v>25</v>
      </c>
      <c r="C9" s="6">
        <v>2</v>
      </c>
      <c r="D9" s="6">
        <v>3</v>
      </c>
      <c r="E9" s="6">
        <v>0</v>
      </c>
      <c r="F9" s="6">
        <v>1</v>
      </c>
      <c r="G9" s="6">
        <v>0</v>
      </c>
      <c r="H9" s="6">
        <f t="shared" si="0"/>
        <v>6</v>
      </c>
      <c r="I9" s="8">
        <v>2</v>
      </c>
    </row>
    <row r="10" spans="1:9" x14ac:dyDescent="0.2">
      <c r="A10" s="7"/>
      <c r="B10" s="5" t="s">
        <v>26</v>
      </c>
      <c r="C10" s="6">
        <v>2</v>
      </c>
      <c r="D10" s="6">
        <v>3</v>
      </c>
      <c r="E10" s="6">
        <v>0</v>
      </c>
      <c r="F10" s="6">
        <v>1</v>
      </c>
      <c r="G10" s="6">
        <v>0</v>
      </c>
      <c r="H10" s="6">
        <f t="shared" si="0"/>
        <v>6</v>
      </c>
      <c r="I10" s="8">
        <v>2</v>
      </c>
    </row>
    <row r="11" spans="1:9" x14ac:dyDescent="0.2">
      <c r="A11" s="7"/>
      <c r="B11" s="5" t="s">
        <v>27</v>
      </c>
      <c r="C11" s="6">
        <v>3</v>
      </c>
      <c r="D11" s="6">
        <v>1</v>
      </c>
      <c r="E11" s="6">
        <v>0</v>
      </c>
      <c r="F11" s="6">
        <v>1</v>
      </c>
      <c r="G11" s="6">
        <v>1</v>
      </c>
      <c r="H11" s="6">
        <f t="shared" si="0"/>
        <v>6</v>
      </c>
      <c r="I11" s="8">
        <v>1.5</v>
      </c>
    </row>
    <row r="12" spans="1:9" x14ac:dyDescent="0.2">
      <c r="A12" s="7"/>
      <c r="B12" s="5" t="s">
        <v>28</v>
      </c>
      <c r="C12" s="6">
        <v>3</v>
      </c>
      <c r="D12" s="6">
        <v>3</v>
      </c>
      <c r="E12" s="6">
        <v>0</v>
      </c>
      <c r="F12" s="6">
        <v>0</v>
      </c>
      <c r="G12" s="6">
        <v>0</v>
      </c>
      <c r="H12" s="6">
        <f t="shared" si="0"/>
        <v>6</v>
      </c>
      <c r="I12" s="8">
        <v>1.5</v>
      </c>
    </row>
    <row r="13" spans="1:9" x14ac:dyDescent="0.2">
      <c r="A13" s="7"/>
      <c r="B13" s="5" t="s">
        <v>29</v>
      </c>
      <c r="C13" s="6">
        <v>2</v>
      </c>
      <c r="D13" s="6">
        <v>3</v>
      </c>
      <c r="E13" s="6">
        <v>0</v>
      </c>
      <c r="F13" s="6">
        <v>1</v>
      </c>
      <c r="G13" s="6">
        <v>0</v>
      </c>
      <c r="H13" s="6">
        <f t="shared" si="0"/>
        <v>6</v>
      </c>
      <c r="I13" s="8">
        <v>2</v>
      </c>
    </row>
    <row r="14" spans="1:9" x14ac:dyDescent="0.2">
      <c r="A14" s="7"/>
      <c r="B14" s="5" t="s">
        <v>30</v>
      </c>
      <c r="C14" s="6">
        <v>2</v>
      </c>
      <c r="D14" s="6">
        <v>2</v>
      </c>
      <c r="E14" s="6">
        <v>2</v>
      </c>
      <c r="F14" s="6">
        <v>0</v>
      </c>
      <c r="G14" s="6">
        <v>0</v>
      </c>
      <c r="H14" s="6">
        <f t="shared" si="0"/>
        <v>6</v>
      </c>
      <c r="I14" s="8">
        <v>2</v>
      </c>
    </row>
    <row r="15" spans="1:9" x14ac:dyDescent="0.2">
      <c r="A15" s="7" t="s">
        <v>31</v>
      </c>
      <c r="B15" s="5" t="s">
        <v>19</v>
      </c>
      <c r="C15" s="6">
        <v>2</v>
      </c>
      <c r="D15" s="6">
        <v>4</v>
      </c>
      <c r="E15" s="6">
        <v>0</v>
      </c>
      <c r="F15" s="6">
        <v>0</v>
      </c>
      <c r="G15" s="6">
        <v>0</v>
      </c>
      <c r="H15" s="6">
        <f t="shared" si="0"/>
        <v>6</v>
      </c>
      <c r="I15" s="8">
        <v>2</v>
      </c>
    </row>
    <row r="16" spans="1:9" x14ac:dyDescent="0.2">
      <c r="A16" s="7"/>
      <c r="B16" s="5" t="s">
        <v>20</v>
      </c>
      <c r="C16" s="6">
        <v>3</v>
      </c>
      <c r="D16" s="6">
        <v>3</v>
      </c>
      <c r="E16" s="6">
        <v>0</v>
      </c>
      <c r="F16" s="6">
        <v>0</v>
      </c>
      <c r="G16" s="6">
        <v>0</v>
      </c>
      <c r="H16" s="6">
        <f t="shared" si="0"/>
        <v>6</v>
      </c>
      <c r="I16" s="8">
        <v>1.5</v>
      </c>
    </row>
    <row r="17" spans="1:9" x14ac:dyDescent="0.2">
      <c r="A17" s="7"/>
      <c r="B17" s="5" t="s">
        <v>32</v>
      </c>
      <c r="C17" s="6">
        <v>5</v>
      </c>
      <c r="D17" s="6">
        <v>0</v>
      </c>
      <c r="E17" s="6">
        <v>0</v>
      </c>
      <c r="F17" s="6">
        <v>1</v>
      </c>
      <c r="G17" s="6">
        <v>0</v>
      </c>
      <c r="H17" s="6">
        <f t="shared" si="0"/>
        <v>6</v>
      </c>
      <c r="I17" s="8">
        <v>1</v>
      </c>
    </row>
    <row r="18" spans="1:9" x14ac:dyDescent="0.2">
      <c r="A18" s="7"/>
      <c r="B18" s="5" t="s">
        <v>33</v>
      </c>
      <c r="C18" s="6">
        <v>3</v>
      </c>
      <c r="D18" s="6">
        <v>2</v>
      </c>
      <c r="E18" s="6">
        <v>0</v>
      </c>
      <c r="F18" s="6">
        <v>1</v>
      </c>
      <c r="G18" s="6">
        <v>0</v>
      </c>
      <c r="H18" s="6">
        <f t="shared" si="0"/>
        <v>6</v>
      </c>
      <c r="I18" s="8">
        <v>1.5</v>
      </c>
    </row>
    <row r="19" spans="1:9" x14ac:dyDescent="0.2">
      <c r="A19" s="7"/>
      <c r="B19" s="5" t="s">
        <v>34</v>
      </c>
      <c r="C19" s="6">
        <v>2</v>
      </c>
      <c r="D19" s="6">
        <v>1</v>
      </c>
      <c r="E19" s="6">
        <v>2</v>
      </c>
      <c r="F19" s="6">
        <v>1</v>
      </c>
      <c r="G19" s="6">
        <v>0</v>
      </c>
      <c r="H19" s="6">
        <f t="shared" si="0"/>
        <v>6</v>
      </c>
      <c r="I19" s="8">
        <v>2.5</v>
      </c>
    </row>
    <row r="20" spans="1:9" x14ac:dyDescent="0.2">
      <c r="A20" s="7"/>
      <c r="B20" s="5" t="s">
        <v>35</v>
      </c>
      <c r="C20" s="6">
        <v>1</v>
      </c>
      <c r="D20" s="6">
        <v>4</v>
      </c>
      <c r="E20" s="6">
        <v>0</v>
      </c>
      <c r="F20" s="6">
        <v>1</v>
      </c>
      <c r="G20" s="6">
        <v>0</v>
      </c>
      <c r="H20" s="6">
        <f t="shared" si="0"/>
        <v>6</v>
      </c>
      <c r="I20" s="8">
        <v>2</v>
      </c>
    </row>
    <row r="21" spans="1:9" x14ac:dyDescent="0.2">
      <c r="A21" s="7" t="s">
        <v>36</v>
      </c>
      <c r="B21" s="5" t="s">
        <v>37</v>
      </c>
      <c r="C21" s="6">
        <v>4</v>
      </c>
      <c r="D21" s="6">
        <v>1</v>
      </c>
      <c r="E21" s="6">
        <v>1</v>
      </c>
      <c r="F21" s="6">
        <v>0</v>
      </c>
      <c r="G21" s="6">
        <v>0</v>
      </c>
      <c r="H21" s="6">
        <f t="shared" si="0"/>
        <v>6</v>
      </c>
      <c r="I21" s="8">
        <v>1</v>
      </c>
    </row>
    <row r="22" spans="1:9" x14ac:dyDescent="0.2">
      <c r="A22" s="7"/>
      <c r="B22" s="5" t="s">
        <v>38</v>
      </c>
      <c r="C22" s="6">
        <v>4</v>
      </c>
      <c r="D22" s="6">
        <v>1</v>
      </c>
      <c r="E22" s="6">
        <v>1</v>
      </c>
      <c r="F22" s="6">
        <v>0</v>
      </c>
      <c r="G22" s="6">
        <v>0</v>
      </c>
      <c r="H22" s="6">
        <f t="shared" si="0"/>
        <v>6</v>
      </c>
      <c r="I22" s="8">
        <v>1</v>
      </c>
    </row>
    <row r="23" spans="1:9" x14ac:dyDescent="0.2">
      <c r="A23" s="7"/>
      <c r="B23" s="5" t="s">
        <v>39</v>
      </c>
      <c r="C23" s="6">
        <v>4</v>
      </c>
      <c r="D23" s="6">
        <v>1</v>
      </c>
      <c r="E23" s="6">
        <v>1</v>
      </c>
      <c r="F23" s="6">
        <v>0</v>
      </c>
      <c r="G23" s="6">
        <v>0</v>
      </c>
      <c r="H23" s="6">
        <f t="shared" si="0"/>
        <v>6</v>
      </c>
      <c r="I23" s="8">
        <v>1</v>
      </c>
    </row>
    <row r="24" spans="1:9" x14ac:dyDescent="0.2">
      <c r="A24" s="7" t="s">
        <v>40</v>
      </c>
      <c r="B24" s="5" t="s">
        <v>41</v>
      </c>
      <c r="C24" s="6">
        <v>2</v>
      </c>
      <c r="D24" s="6">
        <v>2</v>
      </c>
      <c r="E24" s="6">
        <v>2</v>
      </c>
      <c r="F24" s="6">
        <v>0</v>
      </c>
      <c r="G24" s="6">
        <v>0</v>
      </c>
      <c r="H24" s="6">
        <f t="shared" si="0"/>
        <v>6</v>
      </c>
      <c r="I24" s="8">
        <v>2</v>
      </c>
    </row>
    <row r="25" spans="1:9" x14ac:dyDescent="0.2">
      <c r="A25" s="7"/>
      <c r="B25" s="5" t="s">
        <v>42</v>
      </c>
      <c r="C25" s="6">
        <v>2</v>
      </c>
      <c r="D25" s="6">
        <v>2</v>
      </c>
      <c r="E25" s="6">
        <v>2</v>
      </c>
      <c r="F25" s="6">
        <v>0</v>
      </c>
      <c r="G25" s="6">
        <v>0</v>
      </c>
      <c r="H25" s="6">
        <f t="shared" si="0"/>
        <v>6</v>
      </c>
      <c r="I25" s="8">
        <v>2</v>
      </c>
    </row>
    <row r="26" spans="1:9" x14ac:dyDescent="0.2">
      <c r="A26" s="7"/>
      <c r="B26" s="5" t="s">
        <v>43</v>
      </c>
      <c r="C26" s="6">
        <v>1</v>
      </c>
      <c r="D26" s="6">
        <v>2</v>
      </c>
      <c r="E26" s="6">
        <v>0</v>
      </c>
      <c r="F26" s="6">
        <v>2</v>
      </c>
      <c r="G26" s="6">
        <v>1</v>
      </c>
      <c r="H26" s="6">
        <f t="shared" si="0"/>
        <v>6</v>
      </c>
      <c r="I26" s="8">
        <v>3</v>
      </c>
    </row>
    <row r="27" spans="1:9" x14ac:dyDescent="0.2">
      <c r="A27" s="7"/>
      <c r="B27" s="5" t="s">
        <v>44</v>
      </c>
      <c r="C27" s="6">
        <v>1</v>
      </c>
      <c r="D27" s="6">
        <v>2</v>
      </c>
      <c r="E27" s="6">
        <v>0</v>
      </c>
      <c r="F27" s="6">
        <v>2</v>
      </c>
      <c r="G27" s="6">
        <v>1</v>
      </c>
      <c r="H27" s="6">
        <f t="shared" si="0"/>
        <v>6</v>
      </c>
      <c r="I27" s="8">
        <v>3</v>
      </c>
    </row>
    <row r="28" spans="1:9" x14ac:dyDescent="0.2">
      <c r="A28" s="7"/>
      <c r="B28" s="5" t="s">
        <v>45</v>
      </c>
      <c r="C28" s="6">
        <v>2</v>
      </c>
      <c r="D28" s="6">
        <v>1</v>
      </c>
      <c r="E28" s="6">
        <v>2</v>
      </c>
      <c r="F28" s="6">
        <v>1</v>
      </c>
      <c r="G28" s="6">
        <v>0</v>
      </c>
      <c r="H28" s="6">
        <f t="shared" si="0"/>
        <v>6</v>
      </c>
      <c r="I28" s="8">
        <v>2.5</v>
      </c>
    </row>
    <row r="29" spans="1:9" x14ac:dyDescent="0.2">
      <c r="A29" s="7"/>
      <c r="B29" s="5" t="s">
        <v>46</v>
      </c>
      <c r="C29" s="6">
        <v>5</v>
      </c>
      <c r="D29" s="6">
        <v>0</v>
      </c>
      <c r="E29" s="6">
        <v>1</v>
      </c>
      <c r="F29" s="6">
        <v>0</v>
      </c>
      <c r="G29" s="6">
        <v>0</v>
      </c>
      <c r="H29" s="6">
        <f t="shared" si="0"/>
        <v>6</v>
      </c>
      <c r="I29" s="8">
        <v>1</v>
      </c>
    </row>
    <row r="30" spans="1:9" x14ac:dyDescent="0.2">
      <c r="A30" s="7"/>
      <c r="B30" s="5" t="s">
        <v>47</v>
      </c>
      <c r="C30" s="6">
        <v>3</v>
      </c>
      <c r="D30" s="6">
        <v>2</v>
      </c>
      <c r="E30" s="6">
        <v>1</v>
      </c>
      <c r="F30" s="6">
        <v>0</v>
      </c>
      <c r="G30" s="6">
        <v>0</v>
      </c>
      <c r="H30" s="6">
        <f t="shared" si="0"/>
        <v>6</v>
      </c>
      <c r="I30" s="8">
        <v>1.5</v>
      </c>
    </row>
    <row r="31" spans="1:9" x14ac:dyDescent="0.2">
      <c r="A31" s="7"/>
      <c r="B31" s="5" t="s">
        <v>48</v>
      </c>
      <c r="C31" s="6">
        <v>1</v>
      </c>
      <c r="D31" s="6">
        <v>2</v>
      </c>
      <c r="E31" s="6">
        <v>2</v>
      </c>
      <c r="F31" s="6">
        <v>1</v>
      </c>
      <c r="G31" s="6">
        <v>0</v>
      </c>
      <c r="H31" s="6">
        <f t="shared" si="0"/>
        <v>6</v>
      </c>
      <c r="I31" s="8">
        <v>2.5</v>
      </c>
    </row>
    <row r="32" spans="1:9" x14ac:dyDescent="0.2">
      <c r="A32" s="7" t="s">
        <v>49</v>
      </c>
      <c r="B32" s="5" t="s">
        <v>50</v>
      </c>
      <c r="C32" s="6">
        <v>4</v>
      </c>
      <c r="D32" s="6">
        <v>0</v>
      </c>
      <c r="E32" s="6">
        <v>2</v>
      </c>
      <c r="F32" s="6">
        <v>0</v>
      </c>
      <c r="G32" s="6">
        <v>0</v>
      </c>
      <c r="H32" s="6">
        <f t="shared" si="0"/>
        <v>6</v>
      </c>
      <c r="I32" s="8">
        <v>1</v>
      </c>
    </row>
    <row r="33" spans="1:9" x14ac:dyDescent="0.2">
      <c r="A33" s="7"/>
      <c r="B33" s="5" t="s">
        <v>51</v>
      </c>
      <c r="C33" s="6">
        <v>3</v>
      </c>
      <c r="D33" s="6">
        <v>0</v>
      </c>
      <c r="E33" s="6">
        <v>3</v>
      </c>
      <c r="F33" s="6">
        <v>0</v>
      </c>
      <c r="G33" s="6">
        <v>0</v>
      </c>
      <c r="H33" s="6">
        <f t="shared" si="0"/>
        <v>6</v>
      </c>
      <c r="I33" s="8">
        <v>2</v>
      </c>
    </row>
    <row r="34" spans="1:9" x14ac:dyDescent="0.2">
      <c r="A34" s="7"/>
      <c r="B34" s="5" t="s">
        <v>52</v>
      </c>
      <c r="C34" s="6">
        <v>5</v>
      </c>
      <c r="D34" s="6">
        <v>0</v>
      </c>
      <c r="E34" s="6">
        <v>1</v>
      </c>
      <c r="F34" s="6">
        <v>0</v>
      </c>
      <c r="G34" s="6">
        <v>0</v>
      </c>
      <c r="H34" s="6">
        <f t="shared" si="0"/>
        <v>6</v>
      </c>
      <c r="I34" s="8">
        <v>1</v>
      </c>
    </row>
    <row r="35" spans="1:9" x14ac:dyDescent="0.2">
      <c r="A35" s="7"/>
      <c r="B35" s="5" t="s">
        <v>53</v>
      </c>
      <c r="C35" s="6">
        <v>4</v>
      </c>
      <c r="D35" s="6">
        <v>0</v>
      </c>
      <c r="E35" s="6">
        <v>1</v>
      </c>
      <c r="F35" s="6">
        <v>1</v>
      </c>
      <c r="G35" s="6">
        <v>0</v>
      </c>
      <c r="H35" s="6">
        <f t="shared" si="0"/>
        <v>6</v>
      </c>
      <c r="I35" s="8">
        <v>1</v>
      </c>
    </row>
    <row r="36" spans="1:9" x14ac:dyDescent="0.2">
      <c r="A36" s="7"/>
      <c r="B36" s="5" t="s">
        <v>54</v>
      </c>
      <c r="C36" s="6">
        <v>5</v>
      </c>
      <c r="D36" s="6">
        <v>1</v>
      </c>
      <c r="E36" s="6">
        <v>0</v>
      </c>
      <c r="F36" s="6">
        <v>0</v>
      </c>
      <c r="G36" s="6">
        <v>0</v>
      </c>
      <c r="H36" s="6">
        <f t="shared" si="0"/>
        <v>6</v>
      </c>
      <c r="I36" s="8">
        <v>1</v>
      </c>
    </row>
    <row r="37" spans="1:9" x14ac:dyDescent="0.2">
      <c r="A37" s="7" t="s">
        <v>55</v>
      </c>
      <c r="B37" s="5" t="s">
        <v>56</v>
      </c>
      <c r="C37" s="6">
        <v>2</v>
      </c>
      <c r="D37" s="6">
        <v>3</v>
      </c>
      <c r="E37" s="6">
        <v>1</v>
      </c>
      <c r="F37" s="6">
        <v>0</v>
      </c>
      <c r="G37" s="6">
        <v>0</v>
      </c>
      <c r="H37" s="6">
        <f t="shared" si="0"/>
        <v>6</v>
      </c>
      <c r="I37" s="8">
        <v>2</v>
      </c>
    </row>
    <row r="38" spans="1:9" x14ac:dyDescent="0.2">
      <c r="A38" s="7"/>
      <c r="B38" s="5" t="s">
        <v>57</v>
      </c>
      <c r="C38" s="6">
        <v>3</v>
      </c>
      <c r="D38" s="6">
        <v>1</v>
      </c>
      <c r="E38" s="6">
        <v>0</v>
      </c>
      <c r="F38" s="6">
        <v>2</v>
      </c>
      <c r="G38" s="6">
        <v>0</v>
      </c>
      <c r="H38" s="6">
        <f t="shared" si="0"/>
        <v>6</v>
      </c>
      <c r="I38" s="8">
        <v>1.5</v>
      </c>
    </row>
    <row r="39" spans="1:9" x14ac:dyDescent="0.2">
      <c r="A39" s="7"/>
      <c r="B39" s="5" t="s">
        <v>58</v>
      </c>
      <c r="C39" s="6">
        <v>1</v>
      </c>
      <c r="D39" s="6">
        <v>4</v>
      </c>
      <c r="E39" s="6">
        <v>0</v>
      </c>
      <c r="F39" s="6">
        <v>1</v>
      </c>
      <c r="G39" s="6">
        <v>0</v>
      </c>
      <c r="H39" s="6">
        <f t="shared" si="0"/>
        <v>6</v>
      </c>
      <c r="I39" s="8">
        <v>2</v>
      </c>
    </row>
    <row r="40" spans="1:9" x14ac:dyDescent="0.2">
      <c r="A40" s="9"/>
      <c r="B40" s="10" t="s">
        <v>59</v>
      </c>
      <c r="C40" s="11">
        <v>3</v>
      </c>
      <c r="D40" s="11">
        <v>1</v>
      </c>
      <c r="E40" s="11">
        <v>0</v>
      </c>
      <c r="F40" s="11">
        <v>2</v>
      </c>
      <c r="G40" s="11">
        <v>0</v>
      </c>
      <c r="H40" s="11">
        <f t="shared" si="0"/>
        <v>6</v>
      </c>
      <c r="I40" s="12">
        <v>1.5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1BBD1-6BDD-DA49-8A0C-F8BE3C4334E3}">
  <dimension ref="A1:E45"/>
  <sheetViews>
    <sheetView topLeftCell="A10" workbookViewId="0">
      <selection activeCell="D4" sqref="D4"/>
    </sheetView>
  </sheetViews>
  <sheetFormatPr baseColWidth="10" defaultRowHeight="16" x14ac:dyDescent="0.2"/>
  <cols>
    <col min="2" max="2" width="20" customWidth="1"/>
    <col min="3" max="3" width="17.1640625" customWidth="1"/>
  </cols>
  <sheetData>
    <row r="1" spans="1:5" ht="24" x14ac:dyDescent="0.3">
      <c r="A1" s="16" t="s">
        <v>62</v>
      </c>
    </row>
    <row r="3" spans="1:5" ht="30" x14ac:dyDescent="0.2">
      <c r="A3" s="13" t="s">
        <v>63</v>
      </c>
      <c r="B3" s="14" t="s">
        <v>64</v>
      </c>
      <c r="C3" s="14" t="s">
        <v>9</v>
      </c>
      <c r="D3" s="14" t="s">
        <v>65</v>
      </c>
      <c r="E3" s="15" t="s">
        <v>66</v>
      </c>
    </row>
    <row r="4" spans="1:5" x14ac:dyDescent="0.2">
      <c r="A4" s="18" t="s">
        <v>67</v>
      </c>
      <c r="B4" s="4" t="s">
        <v>68</v>
      </c>
      <c r="C4" s="5" t="s">
        <v>18</v>
      </c>
      <c r="D4" s="17">
        <v>2.73</v>
      </c>
      <c r="E4" s="19">
        <v>1.22</v>
      </c>
    </row>
    <row r="5" spans="1:5" x14ac:dyDescent="0.2">
      <c r="A5" s="18"/>
      <c r="B5" s="4"/>
      <c r="C5" s="5" t="s">
        <v>24</v>
      </c>
      <c r="D5" s="17">
        <v>1.91</v>
      </c>
      <c r="E5" s="19">
        <v>0.85</v>
      </c>
    </row>
    <row r="6" spans="1:5" x14ac:dyDescent="0.2">
      <c r="A6" s="18"/>
      <c r="B6" s="4"/>
      <c r="C6" s="5" t="s">
        <v>31</v>
      </c>
      <c r="D6" s="17">
        <v>2.2200000000000002</v>
      </c>
      <c r="E6" s="19">
        <v>1.3</v>
      </c>
    </row>
    <row r="7" spans="1:5" x14ac:dyDescent="0.2">
      <c r="A7" s="18"/>
      <c r="B7" s="4"/>
      <c r="C7" s="5" t="s">
        <v>36</v>
      </c>
      <c r="D7" s="17">
        <v>2</v>
      </c>
      <c r="E7" s="19">
        <v>1.05</v>
      </c>
    </row>
    <row r="8" spans="1:5" x14ac:dyDescent="0.2">
      <c r="A8" s="18"/>
      <c r="B8" s="4"/>
      <c r="C8" s="5" t="s">
        <v>40</v>
      </c>
      <c r="D8" s="17">
        <v>2.2200000000000002</v>
      </c>
      <c r="E8" s="19">
        <v>1.26</v>
      </c>
    </row>
    <row r="9" spans="1:5" x14ac:dyDescent="0.2">
      <c r="A9" s="18"/>
      <c r="B9" s="4"/>
      <c r="C9" s="5" t="s">
        <v>49</v>
      </c>
      <c r="D9" s="17">
        <v>2.4900000000000002</v>
      </c>
      <c r="E9" s="19">
        <v>1.19</v>
      </c>
    </row>
    <row r="10" spans="1:5" x14ac:dyDescent="0.2">
      <c r="A10" s="18"/>
      <c r="B10" s="4"/>
      <c r="C10" s="5" t="s">
        <v>55</v>
      </c>
      <c r="D10" s="17">
        <v>1.97</v>
      </c>
      <c r="E10" s="19">
        <v>1.32</v>
      </c>
    </row>
    <row r="11" spans="1:5" x14ac:dyDescent="0.2">
      <c r="A11" s="18"/>
      <c r="B11" s="4" t="s">
        <v>69</v>
      </c>
      <c r="C11" s="5" t="s">
        <v>18</v>
      </c>
      <c r="D11" s="17">
        <v>2.33</v>
      </c>
      <c r="E11" s="19">
        <v>1.07</v>
      </c>
    </row>
    <row r="12" spans="1:5" x14ac:dyDescent="0.2">
      <c r="A12" s="18"/>
      <c r="B12" s="4"/>
      <c r="C12" s="5" t="s">
        <v>24</v>
      </c>
      <c r="D12" s="17">
        <v>1.86</v>
      </c>
      <c r="E12" s="19">
        <v>1.1100000000000001</v>
      </c>
    </row>
    <row r="13" spans="1:5" x14ac:dyDescent="0.2">
      <c r="A13" s="18"/>
      <c r="B13" s="4"/>
      <c r="C13" s="5" t="s">
        <v>31</v>
      </c>
      <c r="D13" s="17">
        <v>1.83</v>
      </c>
      <c r="E13" s="19">
        <v>0.9</v>
      </c>
    </row>
    <row r="14" spans="1:5" x14ac:dyDescent="0.2">
      <c r="A14" s="18"/>
      <c r="B14" s="4"/>
      <c r="C14" s="5" t="s">
        <v>36</v>
      </c>
      <c r="D14" s="17">
        <v>2.44</v>
      </c>
      <c r="E14" s="19">
        <v>0.5</v>
      </c>
    </row>
    <row r="15" spans="1:5" x14ac:dyDescent="0.2">
      <c r="A15" s="18"/>
      <c r="B15" s="4"/>
      <c r="C15" s="5" t="s">
        <v>40</v>
      </c>
      <c r="D15" s="17">
        <v>2.5</v>
      </c>
      <c r="E15" s="19">
        <v>1.21</v>
      </c>
    </row>
    <row r="16" spans="1:5" x14ac:dyDescent="0.2">
      <c r="A16" s="18"/>
      <c r="B16" s="4"/>
      <c r="C16" s="5" t="s">
        <v>49</v>
      </c>
      <c r="D16" s="17">
        <v>2.37</v>
      </c>
      <c r="E16" s="19">
        <v>1.25</v>
      </c>
    </row>
    <row r="17" spans="1:5" x14ac:dyDescent="0.2">
      <c r="A17" s="18"/>
      <c r="B17" s="4"/>
      <c r="C17" s="5" t="s">
        <v>55</v>
      </c>
      <c r="D17" s="17">
        <v>2</v>
      </c>
      <c r="E17" s="19">
        <v>0.87</v>
      </c>
    </row>
    <row r="18" spans="1:5" x14ac:dyDescent="0.2">
      <c r="A18" s="18"/>
      <c r="B18" s="4" t="s">
        <v>70</v>
      </c>
      <c r="C18" s="5" t="s">
        <v>18</v>
      </c>
      <c r="D18" s="17">
        <v>3.8</v>
      </c>
      <c r="E18" s="19">
        <v>0.98</v>
      </c>
    </row>
    <row r="19" spans="1:5" x14ac:dyDescent="0.2">
      <c r="A19" s="18"/>
      <c r="B19" s="4"/>
      <c r="C19" s="5" t="s">
        <v>24</v>
      </c>
      <c r="D19" s="17">
        <v>2.39</v>
      </c>
      <c r="E19" s="19">
        <v>1.21</v>
      </c>
    </row>
    <row r="20" spans="1:5" x14ac:dyDescent="0.2">
      <c r="A20" s="18"/>
      <c r="B20" s="4"/>
      <c r="C20" s="5" t="s">
        <v>31</v>
      </c>
      <c r="D20" s="17">
        <v>2.39</v>
      </c>
      <c r="E20" s="19">
        <v>1.06</v>
      </c>
    </row>
    <row r="21" spans="1:5" x14ac:dyDescent="0.2">
      <c r="A21" s="18"/>
      <c r="B21" s="4"/>
      <c r="C21" s="5" t="s">
        <v>36</v>
      </c>
      <c r="D21" s="17">
        <v>2.56</v>
      </c>
      <c r="E21" s="19">
        <v>1.5</v>
      </c>
    </row>
    <row r="22" spans="1:5" x14ac:dyDescent="0.2">
      <c r="A22" s="18"/>
      <c r="B22" s="4"/>
      <c r="C22" s="5" t="s">
        <v>40</v>
      </c>
      <c r="D22" s="17">
        <v>3.04</v>
      </c>
      <c r="E22" s="19">
        <v>1.17</v>
      </c>
    </row>
    <row r="23" spans="1:5" x14ac:dyDescent="0.2">
      <c r="A23" s="18"/>
      <c r="B23" s="4"/>
      <c r="C23" s="5" t="s">
        <v>49</v>
      </c>
      <c r="D23" s="17">
        <v>3.53</v>
      </c>
      <c r="E23" s="19">
        <v>1.1499999999999999</v>
      </c>
    </row>
    <row r="24" spans="1:5" x14ac:dyDescent="0.2">
      <c r="A24" s="18"/>
      <c r="B24" s="4"/>
      <c r="C24" s="5" t="s">
        <v>55</v>
      </c>
      <c r="D24" s="17">
        <v>2.67</v>
      </c>
      <c r="E24" s="19">
        <v>1.31</v>
      </c>
    </row>
    <row r="25" spans="1:5" x14ac:dyDescent="0.2">
      <c r="A25" s="18" t="s">
        <v>71</v>
      </c>
      <c r="B25" s="4" t="s">
        <v>68</v>
      </c>
      <c r="C25" s="5" t="s">
        <v>18</v>
      </c>
      <c r="D25" s="17">
        <v>2.57</v>
      </c>
      <c r="E25" s="19">
        <v>1.18</v>
      </c>
    </row>
    <row r="26" spans="1:5" x14ac:dyDescent="0.2">
      <c r="A26" s="18"/>
      <c r="B26" s="4"/>
      <c r="C26" s="5" t="s">
        <v>24</v>
      </c>
      <c r="D26" s="17">
        <v>1.69</v>
      </c>
      <c r="E26" s="19">
        <v>0.89</v>
      </c>
    </row>
    <row r="27" spans="1:5" x14ac:dyDescent="0.2">
      <c r="A27" s="18"/>
      <c r="B27" s="4"/>
      <c r="C27" s="5" t="s">
        <v>31</v>
      </c>
      <c r="D27" s="17">
        <v>2.64</v>
      </c>
      <c r="E27" s="19">
        <v>1.43</v>
      </c>
    </row>
    <row r="28" spans="1:5" x14ac:dyDescent="0.2">
      <c r="A28" s="18"/>
      <c r="B28" s="4"/>
      <c r="C28" s="5" t="s">
        <v>36</v>
      </c>
      <c r="D28" s="17">
        <v>1.86</v>
      </c>
      <c r="E28" s="19">
        <v>0.94</v>
      </c>
    </row>
    <row r="29" spans="1:5" x14ac:dyDescent="0.2">
      <c r="A29" s="18"/>
      <c r="B29" s="4"/>
      <c r="C29" s="5" t="s">
        <v>40</v>
      </c>
      <c r="D29" s="17">
        <v>2.54</v>
      </c>
      <c r="E29" s="19">
        <v>1.45</v>
      </c>
    </row>
    <row r="30" spans="1:5" x14ac:dyDescent="0.2">
      <c r="A30" s="18"/>
      <c r="B30" s="4"/>
      <c r="C30" s="5" t="s">
        <v>49</v>
      </c>
      <c r="D30" s="17">
        <v>2.46</v>
      </c>
      <c r="E30" s="19">
        <v>1.34</v>
      </c>
    </row>
    <row r="31" spans="1:5" x14ac:dyDescent="0.2">
      <c r="A31" s="18"/>
      <c r="B31" s="4"/>
      <c r="C31" s="5" t="s">
        <v>55</v>
      </c>
      <c r="D31" s="17">
        <v>2.64</v>
      </c>
      <c r="E31" s="19">
        <v>1.56</v>
      </c>
    </row>
    <row r="32" spans="1:5" x14ac:dyDescent="0.2">
      <c r="A32" s="18"/>
      <c r="B32" s="4" t="s">
        <v>69</v>
      </c>
      <c r="C32" s="5" t="s">
        <v>18</v>
      </c>
      <c r="D32" s="17">
        <v>2.5299999999999998</v>
      </c>
      <c r="E32" s="19">
        <v>0.99</v>
      </c>
    </row>
    <row r="33" spans="1:5" x14ac:dyDescent="0.2">
      <c r="A33" s="18"/>
      <c r="B33" s="4"/>
      <c r="C33" s="5" t="s">
        <v>24</v>
      </c>
      <c r="D33" s="17">
        <v>1.97</v>
      </c>
      <c r="E33" s="19">
        <v>1.07</v>
      </c>
    </row>
    <row r="34" spans="1:5" x14ac:dyDescent="0.2">
      <c r="A34" s="18"/>
      <c r="B34" s="4"/>
      <c r="C34" s="5" t="s">
        <v>31</v>
      </c>
      <c r="D34" s="17">
        <v>1.83</v>
      </c>
      <c r="E34" s="19">
        <v>0.96</v>
      </c>
    </row>
    <row r="35" spans="1:5" x14ac:dyDescent="0.2">
      <c r="A35" s="18"/>
      <c r="B35" s="4"/>
      <c r="C35" s="5" t="s">
        <v>36</v>
      </c>
      <c r="D35" s="17">
        <v>1.5</v>
      </c>
      <c r="E35" s="19">
        <v>0.76</v>
      </c>
    </row>
    <row r="36" spans="1:5" x14ac:dyDescent="0.2">
      <c r="A36" s="18"/>
      <c r="B36" s="4"/>
      <c r="C36" s="5" t="s">
        <v>40</v>
      </c>
      <c r="D36" s="17">
        <v>2.23</v>
      </c>
      <c r="E36" s="19">
        <v>1.18</v>
      </c>
    </row>
    <row r="37" spans="1:5" x14ac:dyDescent="0.2">
      <c r="A37" s="18"/>
      <c r="B37" s="4"/>
      <c r="C37" s="5" t="s">
        <v>49</v>
      </c>
      <c r="D37" s="17">
        <v>1.6</v>
      </c>
      <c r="E37" s="19">
        <v>0.95</v>
      </c>
    </row>
    <row r="38" spans="1:5" x14ac:dyDescent="0.2">
      <c r="A38" s="18"/>
      <c r="B38" s="4"/>
      <c r="C38" s="5" t="s">
        <v>55</v>
      </c>
      <c r="D38" s="17">
        <v>2.08</v>
      </c>
      <c r="E38" s="19">
        <v>1.1100000000000001</v>
      </c>
    </row>
    <row r="39" spans="1:5" x14ac:dyDescent="0.2">
      <c r="A39" s="18"/>
      <c r="B39" s="4" t="s">
        <v>70</v>
      </c>
      <c r="C39" s="5" t="s">
        <v>18</v>
      </c>
      <c r="D39" s="17">
        <v>4.5</v>
      </c>
      <c r="E39" s="19">
        <v>0.5</v>
      </c>
    </row>
    <row r="40" spans="1:5" x14ac:dyDescent="0.2">
      <c r="A40" s="18"/>
      <c r="B40" s="4"/>
      <c r="C40" s="5" t="s">
        <v>24</v>
      </c>
      <c r="D40" s="17">
        <v>1.92</v>
      </c>
      <c r="E40" s="19">
        <v>1.1100000000000001</v>
      </c>
    </row>
    <row r="41" spans="1:5" x14ac:dyDescent="0.2">
      <c r="A41" s="18"/>
      <c r="B41" s="4"/>
      <c r="C41" s="5" t="s">
        <v>31</v>
      </c>
      <c r="D41" s="17">
        <v>2</v>
      </c>
      <c r="E41" s="19">
        <v>1.29</v>
      </c>
    </row>
    <row r="42" spans="1:5" x14ac:dyDescent="0.2">
      <c r="A42" s="18"/>
      <c r="B42" s="4"/>
      <c r="C42" s="5" t="s">
        <v>36</v>
      </c>
      <c r="D42" s="17">
        <v>1.67</v>
      </c>
      <c r="E42" s="19">
        <v>0.94</v>
      </c>
    </row>
    <row r="43" spans="1:5" x14ac:dyDescent="0.2">
      <c r="A43" s="18"/>
      <c r="B43" s="4"/>
      <c r="C43" s="5" t="s">
        <v>40</v>
      </c>
      <c r="D43" s="17">
        <v>2.33</v>
      </c>
      <c r="E43" s="19">
        <v>1.4</v>
      </c>
    </row>
    <row r="44" spans="1:5" x14ac:dyDescent="0.2">
      <c r="A44" s="18"/>
      <c r="B44" s="4"/>
      <c r="C44" s="5" t="s">
        <v>49</v>
      </c>
      <c r="D44" s="17">
        <v>1.9</v>
      </c>
      <c r="E44" s="19">
        <v>0.94</v>
      </c>
    </row>
    <row r="45" spans="1:5" x14ac:dyDescent="0.2">
      <c r="A45" s="20"/>
      <c r="B45" s="21"/>
      <c r="C45" s="10" t="s">
        <v>55</v>
      </c>
      <c r="D45" s="22">
        <v>2.12</v>
      </c>
      <c r="E45" s="23">
        <v>1.27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9FBC5-6A13-3B4C-B3DD-16A6A1C8381D}">
  <dimension ref="A1:E31"/>
  <sheetViews>
    <sheetView workbookViewId="0">
      <selection activeCell="I20" sqref="I20"/>
    </sheetView>
  </sheetViews>
  <sheetFormatPr baseColWidth="10" defaultRowHeight="16" x14ac:dyDescent="0.2"/>
  <cols>
    <col min="3" max="3" width="17.1640625" customWidth="1"/>
  </cols>
  <sheetData>
    <row r="1" spans="1:5" x14ac:dyDescent="0.2">
      <c r="A1" t="s">
        <v>72</v>
      </c>
    </row>
    <row r="3" spans="1:5" ht="30" x14ac:dyDescent="0.2">
      <c r="A3" s="13" t="s">
        <v>63</v>
      </c>
      <c r="B3" s="14" t="s">
        <v>64</v>
      </c>
      <c r="C3" s="14" t="s">
        <v>9</v>
      </c>
      <c r="D3" s="14" t="s">
        <v>65</v>
      </c>
      <c r="E3" s="15" t="s">
        <v>66</v>
      </c>
    </row>
    <row r="4" spans="1:5" x14ac:dyDescent="0.2">
      <c r="A4" s="18" t="s">
        <v>67</v>
      </c>
      <c r="B4" s="4" t="s">
        <v>69</v>
      </c>
      <c r="C4" s="5" t="s">
        <v>18</v>
      </c>
      <c r="D4" s="17">
        <v>1.93</v>
      </c>
      <c r="E4" s="19">
        <v>0.77</v>
      </c>
    </row>
    <row r="5" spans="1:5" x14ac:dyDescent="0.2">
      <c r="A5" s="18"/>
      <c r="B5" s="4"/>
      <c r="C5" s="5" t="s">
        <v>24</v>
      </c>
      <c r="D5" s="17">
        <v>1.72</v>
      </c>
      <c r="E5" s="19">
        <v>0.8</v>
      </c>
    </row>
    <row r="6" spans="1:5" x14ac:dyDescent="0.2">
      <c r="A6" s="18"/>
      <c r="B6" s="4"/>
      <c r="C6" s="5" t="s">
        <v>31</v>
      </c>
      <c r="D6" s="17">
        <v>1.83</v>
      </c>
      <c r="E6" s="19">
        <v>0.5</v>
      </c>
    </row>
    <row r="7" spans="1:5" x14ac:dyDescent="0.2">
      <c r="A7" s="18"/>
      <c r="B7" s="4"/>
      <c r="C7" s="5" t="s">
        <v>36</v>
      </c>
      <c r="D7" s="17">
        <v>1.33</v>
      </c>
      <c r="E7" s="19">
        <v>0.47</v>
      </c>
    </row>
    <row r="8" spans="1:5" x14ac:dyDescent="0.2">
      <c r="A8" s="18"/>
      <c r="B8" s="4"/>
      <c r="C8" s="5" t="s">
        <v>40</v>
      </c>
      <c r="D8" s="17">
        <v>1.29</v>
      </c>
      <c r="E8" s="19">
        <v>0.54</v>
      </c>
    </row>
    <row r="9" spans="1:5" x14ac:dyDescent="0.2">
      <c r="A9" s="18"/>
      <c r="B9" s="4"/>
      <c r="C9" s="5" t="s">
        <v>49</v>
      </c>
      <c r="D9" s="17">
        <v>1.53</v>
      </c>
      <c r="E9" s="19">
        <v>0.62</v>
      </c>
    </row>
    <row r="10" spans="1:5" x14ac:dyDescent="0.2">
      <c r="A10" s="18"/>
      <c r="B10" s="4"/>
      <c r="C10" s="5" t="s">
        <v>55</v>
      </c>
      <c r="D10" s="17">
        <v>1.25</v>
      </c>
      <c r="E10" s="19">
        <v>0.43</v>
      </c>
    </row>
    <row r="11" spans="1:5" x14ac:dyDescent="0.2">
      <c r="A11" s="18"/>
      <c r="B11" s="4" t="s">
        <v>70</v>
      </c>
      <c r="C11" s="5" t="s">
        <v>18</v>
      </c>
      <c r="D11" s="17">
        <v>2.46</v>
      </c>
      <c r="E11" s="19">
        <v>1.18</v>
      </c>
    </row>
    <row r="12" spans="1:5" x14ac:dyDescent="0.2">
      <c r="A12" s="18"/>
      <c r="B12" s="4"/>
      <c r="C12" s="5" t="s">
        <v>24</v>
      </c>
      <c r="D12" s="17">
        <v>1.92</v>
      </c>
      <c r="E12" s="19">
        <v>0.93</v>
      </c>
    </row>
    <row r="13" spans="1:5" x14ac:dyDescent="0.2">
      <c r="A13" s="18"/>
      <c r="B13" s="4"/>
      <c r="C13" s="5" t="s">
        <v>31</v>
      </c>
      <c r="D13" s="17">
        <v>2.15</v>
      </c>
      <c r="E13" s="19">
        <v>1.04</v>
      </c>
    </row>
    <row r="14" spans="1:5" x14ac:dyDescent="0.2">
      <c r="A14" s="18"/>
      <c r="B14" s="4"/>
      <c r="C14" s="5" t="s">
        <v>36</v>
      </c>
      <c r="D14" s="17">
        <v>1.85</v>
      </c>
      <c r="E14" s="19">
        <v>0.88</v>
      </c>
    </row>
    <row r="15" spans="1:5" x14ac:dyDescent="0.2">
      <c r="A15" s="18"/>
      <c r="B15" s="4"/>
      <c r="C15" s="5" t="s">
        <v>40</v>
      </c>
      <c r="D15" s="17">
        <v>2.2200000000000002</v>
      </c>
      <c r="E15" s="19">
        <v>1.05</v>
      </c>
    </row>
    <row r="16" spans="1:5" x14ac:dyDescent="0.2">
      <c r="A16" s="18"/>
      <c r="B16" s="4"/>
      <c r="C16" s="5" t="s">
        <v>49</v>
      </c>
      <c r="D16" s="17">
        <v>2.21</v>
      </c>
      <c r="E16" s="19">
        <v>1.1100000000000001</v>
      </c>
    </row>
    <row r="17" spans="1:5" x14ac:dyDescent="0.2">
      <c r="A17" s="18"/>
      <c r="B17" s="4"/>
      <c r="C17" s="5" t="s">
        <v>55</v>
      </c>
      <c r="D17" s="17">
        <v>2.1800000000000002</v>
      </c>
      <c r="E17" s="19">
        <v>1.1000000000000001</v>
      </c>
    </row>
    <row r="18" spans="1:5" x14ac:dyDescent="0.2">
      <c r="A18" s="18" t="s">
        <v>71</v>
      </c>
      <c r="B18" s="4" t="s">
        <v>69</v>
      </c>
      <c r="C18" s="5" t="s">
        <v>18</v>
      </c>
      <c r="D18" s="17">
        <v>1.6</v>
      </c>
      <c r="E18" s="19">
        <v>0.61</v>
      </c>
    </row>
    <row r="19" spans="1:5" x14ac:dyDescent="0.2">
      <c r="A19" s="18"/>
      <c r="B19" s="4"/>
      <c r="C19" s="5" t="s">
        <v>24</v>
      </c>
      <c r="D19" s="17">
        <v>1.39</v>
      </c>
      <c r="E19" s="19">
        <v>0.59</v>
      </c>
    </row>
    <row r="20" spans="1:5" x14ac:dyDescent="0.2">
      <c r="A20" s="18"/>
      <c r="B20" s="4"/>
      <c r="C20" s="5" t="s">
        <v>31</v>
      </c>
      <c r="D20" s="17">
        <v>1.59</v>
      </c>
      <c r="E20" s="19">
        <v>0.6</v>
      </c>
    </row>
    <row r="21" spans="1:5" x14ac:dyDescent="0.2">
      <c r="A21" s="18"/>
      <c r="B21" s="4"/>
      <c r="C21" s="5" t="s">
        <v>36</v>
      </c>
      <c r="D21" s="17">
        <v>1.44</v>
      </c>
      <c r="E21" s="19">
        <v>0.5</v>
      </c>
    </row>
    <row r="22" spans="1:5" x14ac:dyDescent="0.2">
      <c r="A22" s="18"/>
      <c r="B22" s="4"/>
      <c r="C22" s="5" t="s">
        <v>40</v>
      </c>
      <c r="D22" s="17">
        <v>1.46</v>
      </c>
      <c r="E22" s="19">
        <v>0.5</v>
      </c>
    </row>
    <row r="23" spans="1:5" x14ac:dyDescent="0.2">
      <c r="A23" s="18"/>
      <c r="B23" s="4"/>
      <c r="C23" s="5" t="s">
        <v>49</v>
      </c>
      <c r="D23" s="17">
        <v>1.47</v>
      </c>
      <c r="E23" s="19">
        <v>0.72</v>
      </c>
    </row>
    <row r="24" spans="1:5" x14ac:dyDescent="0.2">
      <c r="A24" s="18"/>
      <c r="B24" s="4"/>
      <c r="C24" s="5" t="s">
        <v>55</v>
      </c>
      <c r="D24" s="17">
        <v>1.33</v>
      </c>
      <c r="E24" s="19">
        <v>0.47</v>
      </c>
    </row>
    <row r="25" spans="1:5" x14ac:dyDescent="0.2">
      <c r="A25" s="18"/>
      <c r="B25" s="4" t="s">
        <v>70</v>
      </c>
      <c r="C25" s="5" t="s">
        <v>18</v>
      </c>
      <c r="D25" s="17">
        <v>2.44</v>
      </c>
      <c r="E25" s="19">
        <v>1.19</v>
      </c>
    </row>
    <row r="26" spans="1:5" x14ac:dyDescent="0.2">
      <c r="A26" s="18"/>
      <c r="B26" s="4"/>
      <c r="C26" s="5" t="s">
        <v>24</v>
      </c>
      <c r="D26" s="17">
        <v>1.95</v>
      </c>
      <c r="E26" s="19">
        <v>1.02</v>
      </c>
    </row>
    <row r="27" spans="1:5" x14ac:dyDescent="0.2">
      <c r="A27" s="18"/>
      <c r="B27" s="4"/>
      <c r="C27" s="5" t="s">
        <v>31</v>
      </c>
      <c r="D27" s="17">
        <v>2.09</v>
      </c>
      <c r="E27" s="19">
        <v>1.07</v>
      </c>
    </row>
    <row r="28" spans="1:5" x14ac:dyDescent="0.2">
      <c r="A28" s="18"/>
      <c r="B28" s="4"/>
      <c r="C28" s="5" t="s">
        <v>36</v>
      </c>
      <c r="D28" s="17">
        <v>1.87</v>
      </c>
      <c r="E28" s="19">
        <v>0.95</v>
      </c>
    </row>
    <row r="29" spans="1:5" x14ac:dyDescent="0.2">
      <c r="A29" s="18"/>
      <c r="B29" s="4"/>
      <c r="C29" s="5" t="s">
        <v>40</v>
      </c>
      <c r="D29" s="17">
        <v>2.2999999999999998</v>
      </c>
      <c r="E29" s="19">
        <v>1.2</v>
      </c>
    </row>
    <row r="30" spans="1:5" x14ac:dyDescent="0.2">
      <c r="A30" s="18"/>
      <c r="B30" s="4"/>
      <c r="C30" s="5" t="s">
        <v>49</v>
      </c>
      <c r="D30" s="17">
        <v>2.1</v>
      </c>
      <c r="E30" s="19">
        <v>1.1399999999999999</v>
      </c>
    </row>
    <row r="31" spans="1:5" x14ac:dyDescent="0.2">
      <c r="A31" s="20"/>
      <c r="B31" s="21"/>
      <c r="C31" s="10" t="s">
        <v>55</v>
      </c>
      <c r="D31" s="22">
        <v>2.2599999999999998</v>
      </c>
      <c r="E31" s="23">
        <v>1.19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Table 5.2</vt:lpstr>
      <vt:lpstr>Table 5.3</vt:lpstr>
      <vt:lpstr>Table 5.4</vt:lpstr>
      <vt:lpstr>Table 5.5</vt:lpstr>
      <vt:lpstr>Table 5.6</vt:lpstr>
      <vt:lpstr>Table 5.7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Alzahrani</dc:creator>
  <cp:lastModifiedBy>Sarah Alzahrani</cp:lastModifiedBy>
  <dcterms:created xsi:type="dcterms:W3CDTF">2026-04-25T12:29:34Z</dcterms:created>
  <dcterms:modified xsi:type="dcterms:W3CDTF">2026-04-25T12:48:51Z</dcterms:modified>
</cp:coreProperties>
</file>